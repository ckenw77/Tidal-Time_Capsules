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78" documentId="8_{2EBFFBB5-AA1D-4DD9-A43A-243907206CD1}" xr6:coauthVersionLast="47" xr6:coauthVersionMax="47" xr10:uidLastSave="{A68813BD-25DA-42FC-8298-11136F99AE1F}"/>
  <bookViews>
    <workbookView xWindow="-110" yWindow="-110" windowWidth="19420" windowHeight="10300" xr2:uid="{B145EA35-1BD5-495C-A7E0-BAB6ECA9BC9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1" i="2" l="1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I481" i="2"/>
  <c r="I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I432" i="2"/>
  <c r="G432" i="2"/>
  <c r="I431" i="2"/>
  <c r="G431" i="2" s="1"/>
  <c r="I430" i="2"/>
  <c r="G430" i="2" s="1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D362" i="2"/>
  <c r="G361" i="2"/>
  <c r="G360" i="2"/>
  <c r="G359" i="2"/>
  <c r="G358" i="2"/>
  <c r="G357" i="2"/>
  <c r="G356" i="2"/>
  <c r="G355" i="2"/>
  <c r="G354" i="2"/>
  <c r="G353" i="2"/>
  <c r="G352" i="2"/>
  <c r="G351" i="2"/>
  <c r="D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I274" i="2"/>
  <c r="G274" i="2"/>
  <c r="G273" i="2"/>
  <c r="G272" i="2"/>
  <c r="G271" i="2"/>
  <c r="G270" i="2"/>
  <c r="G269" i="2"/>
  <c r="G268" i="2"/>
  <c r="G267" i="2"/>
  <c r="C267" i="2"/>
  <c r="G266" i="2"/>
  <c r="C266" i="2"/>
  <c r="G265" i="2"/>
  <c r="C265" i="2"/>
  <c r="G264" i="2"/>
  <c r="C264" i="2"/>
  <c r="G263" i="2"/>
  <c r="C263" i="2"/>
  <c r="G262" i="2"/>
  <c r="C262" i="2"/>
  <c r="G261" i="2"/>
  <c r="C261" i="2"/>
  <c r="G260" i="2"/>
  <c r="C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I71" i="2"/>
  <c r="G71" i="2" s="1"/>
  <c r="I70" i="2"/>
  <c r="G70" i="2" s="1"/>
  <c r="G69" i="2"/>
  <c r="G68" i="2"/>
  <c r="G67" i="2"/>
  <c r="I66" i="2"/>
  <c r="G66" i="2" s="1"/>
  <c r="G65" i="2"/>
  <c r="I64" i="2"/>
  <c r="G64" i="2"/>
  <c r="G63" i="2"/>
  <c r="G62" i="2"/>
  <c r="G61" i="2"/>
  <c r="G60" i="2"/>
  <c r="G59" i="2"/>
  <c r="D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4" i="2"/>
  <c r="G13" i="2"/>
  <c r="G12" i="2"/>
  <c r="G11" i="2"/>
  <c r="G10" i="2"/>
  <c r="G9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<sst xmlns="http://schemas.openxmlformats.org/spreadsheetml/2006/main" count="3169" uniqueCount="825">
  <si>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</si>
  <si>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</si>
  <si>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</si>
  <si>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</si>
  <si>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</si>
  <si>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</si>
  <si>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</si>
  <si>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</si>
  <si>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</si>
  <si>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</si>
  <si>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</si>
  <si>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</si>
  <si>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</si>
  <si>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</si>
  <si>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</si>
  <si>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</si>
  <si>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</si>
  <si>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</si>
  <si>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</si>
  <si>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</si>
  <si>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</si>
  <si>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</si>
  <si>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</si>
  <si>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</si>
  <si>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</si>
  <si>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</si>
  <si>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</si>
  <si>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</si>
  <si>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</si>
  <si>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</si>
  <si>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</si>
  <si>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</si>
  <si>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Grau-de-la-Dent</t>
  </si>
  <si>
    <t>France</t>
  </si>
  <si>
    <t>Bancs des Flandres (SHOM 7JJ3354)</t>
  </si>
  <si>
    <t>1934-1953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</si>
  <si>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</si>
  <si>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</si>
  <si>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</si>
  <si>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</si>
  <si>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</si>
  <si>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</si>
  <si>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</si>
  <si>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</si>
  <si>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</si>
  <si>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</si>
  <si>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</si>
  <si>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</si>
  <si>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</si>
  <si>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</si>
  <si>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</si>
  <si>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</si>
  <si>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</si>
  <si>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</si>
  <si>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</si>
  <si>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</si>
  <si>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</si>
  <si>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</si>
  <si>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</si>
  <si>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</si>
  <si>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</si>
  <si>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</si>
  <si>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</si>
  <si>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</si>
  <si>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</si>
  <si>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</si>
  <si>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</si>
  <si>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</si>
  <si>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</si>
  <si>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</si>
  <si>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</si>
  <si>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</si>
  <si>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</si>
  <si>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</si>
  <si>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</si>
  <si>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</si>
  <si>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</si>
  <si>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</si>
  <si>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</si>
  <si>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</si>
  <si>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</si>
  <si>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</si>
  <si>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</si>
  <si>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</si>
  <si>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</si>
  <si>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</si>
  <si>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</si>
  <si>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</si>
  <si>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</si>
  <si>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</si>
  <si>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</si>
  <si>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</si>
  <si>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</si>
  <si>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</si>
  <si>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</si>
  <si>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</si>
  <si>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</si>
  <si>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</si>
  <si>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</si>
  <si>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</si>
  <si>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</si>
  <si>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</si>
  <si>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</si>
  <si>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</si>
  <si>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</si>
  <si>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</si>
  <si>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</si>
  <si>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</si>
  <si>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</si>
  <si>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</si>
  <si>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</si>
  <si>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</si>
  <si>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</si>
  <si>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</si>
  <si>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</si>
  <si>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</si>
  <si>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</si>
  <si>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</si>
  <si>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</si>
  <si>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</si>
  <si>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</si>
  <si>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</si>
  <si>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</si>
  <si>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</si>
  <si>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</si>
  <si>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</si>
  <si>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</si>
  <si>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</si>
  <si>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</si>
  <si>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</si>
  <si>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</si>
  <si>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</si>
  <si>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</si>
  <si>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</si>
  <si>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</si>
  <si>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</si>
  <si>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</si>
  <si>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</si>
  <si>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</si>
  <si>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</si>
  <si>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</si>
  <si>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</si>
  <si>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</si>
  <si>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</si>
  <si>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</si>
  <si>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</si>
  <si>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</si>
  <si>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</si>
  <si>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</si>
  <si>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</si>
  <si>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</si>
  <si>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</si>
  <si>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</si>
  <si>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</si>
  <si>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</si>
  <si>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</si>
  <si>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</si>
  <si>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</si>
  <si>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</si>
  <si>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</si>
  <si>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</si>
  <si>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</si>
  <si>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</si>
  <si>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</si>
  <si>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</si>
  <si>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</si>
  <si>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</si>
  <si>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</si>
  <si>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</si>
  <si>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</si>
  <si>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</si>
  <si>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</si>
  <si>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</si>
  <si>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</si>
  <si>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</si>
  <si>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</si>
  <si>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</si>
  <si>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</si>
  <si>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</si>
  <si>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</si>
  <si>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</si>
  <si>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</si>
  <si>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</si>
  <si>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</si>
  <si>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</si>
  <si>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</si>
  <si>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</si>
  <si>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</si>
  <si>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</si>
  <si>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</si>
  <si>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</si>
  <si>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</si>
  <si>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</si>
  <si>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</si>
  <si>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</si>
  <si>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</si>
  <si>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</si>
  <si>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</si>
  <si>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</si>
  <si>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</si>
  <si>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</si>
  <si>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</si>
  <si>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</si>
  <si>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</si>
  <si>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</si>
  <si>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</si>
  <si>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</si>
  <si>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</si>
  <si>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</si>
  <si>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</si>
  <si>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</si>
  <si>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</si>
  <si>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</si>
  <si>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</si>
  <si>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</si>
  <si>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</si>
  <si>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</si>
  <si>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</si>
  <si>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</si>
  <si>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</si>
  <si>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</si>
  <si>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</si>
  <si>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</si>
  <si>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</si>
  <si>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</si>
  <si>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</si>
  <si>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</si>
  <si>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</si>
  <si>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</si>
  <si>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</si>
  <si>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</si>
  <si>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</si>
  <si>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</si>
  <si>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</si>
  <si>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</si>
  <si>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</si>
  <si>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</si>
  <si>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</si>
  <si>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</si>
  <si>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</si>
  <si>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</si>
  <si>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</si>
  <si>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</si>
  <si>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</si>
  <si>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</si>
  <si>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</si>
  <si>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</si>
  <si>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</si>
  <si>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</si>
  <si>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</si>
  <si>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</si>
  <si>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</si>
  <si>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</si>
  <si>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</si>
  <si>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</si>
  <si>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</si>
  <si>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</si>
  <si>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</si>
  <si>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</si>
  <si>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</si>
  <si>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</si>
  <si>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</si>
  <si>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</si>
  <si>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</si>
  <si>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</si>
  <si>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</si>
  <si>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</si>
  <si>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</si>
  <si>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</si>
  <si>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</si>
  <si>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</si>
  <si>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</si>
  <si>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</si>
  <si>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</si>
  <si>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</si>
  <si>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</si>
  <si>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</si>
  <si>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</si>
  <si>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</si>
  <si>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</si>
  <si>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</si>
  <si>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</si>
  <si>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</si>
  <si>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</si>
  <si>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</si>
  <si>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</si>
  <si>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</si>
  <si>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</si>
  <si>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</si>
  <si>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</si>
  <si>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</si>
  <si>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</si>
  <si>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</si>
  <si>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</si>
  <si>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</si>
  <si>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</si>
  <si>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</si>
  <si>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</si>
  <si>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</si>
  <si>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</si>
  <si>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</si>
  <si>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</si>
  <si>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</si>
  <si>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</si>
  <si>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</si>
  <si>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</si>
  <si>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</si>
  <si>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</si>
  <si>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</si>
  <si>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</si>
  <si>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</si>
  <si>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</si>
  <si>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</si>
  <si>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</si>
  <si>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</si>
  <si>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</si>
  <si>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</si>
  <si>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</si>
  <si>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</si>
  <si>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</si>
  <si>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</si>
  <si>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</si>
  <si>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</si>
  <si>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</si>
  <si>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</si>
  <si>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</si>
  <si>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</si>
  <si>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</si>
  <si>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</si>
  <si>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</si>
  <si>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</si>
  <si>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</si>
  <si>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</si>
  <si>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</si>
  <si>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</si>
  <si>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</si>
  <si>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</si>
  <si>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</si>
  <si>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</si>
  <si>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</si>
  <si>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</si>
  <si>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</si>
  <si>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</si>
  <si>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</si>
  <si>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</si>
  <si>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</si>
  <si>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</si>
  <si>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</si>
  <si>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</si>
  <si>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</si>
  <si>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</si>
  <si>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</si>
  <si>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</si>
  <si>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</si>
  <si>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</si>
  <si>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</si>
  <si>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</si>
  <si>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</si>
  <si>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</si>
  <si>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</si>
  <si>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</si>
  <si>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</si>
  <si>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</si>
  <si>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</si>
  <si>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</si>
  <si>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</si>
  <si>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</si>
  <si>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</si>
  <si>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</si>
  <si>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</si>
  <si>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</si>
  <si>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</si>
  <si>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</si>
  <si>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</si>
  <si>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</si>
  <si>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</si>
  <si>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</si>
  <si>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</si>
  <si>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</si>
  <si>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</si>
  <si>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</si>
  <si>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</si>
  <si>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</si>
  <si>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</si>
  <si>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</si>
  <si>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</si>
  <si>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</si>
  <si>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</si>
  <si>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</si>
  <si>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</si>
  <si>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</si>
  <si>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</si>
  <si>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</si>
  <si>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</si>
  <si>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</si>
  <si>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</si>
  <si>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</si>
  <si>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</si>
  <si>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</si>
  <si>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</si>
  <si>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</si>
  <si>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</si>
  <si>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</si>
  <si>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</si>
  <si>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</si>
  <si>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</si>
  <si>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</si>
  <si>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</si>
  <si>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</si>
  <si>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</si>
  <si>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</si>
  <si>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</si>
  <si>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</si>
  <si>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</si>
  <si>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</si>
  <si>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</si>
  <si>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</si>
  <si>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</si>
  <si>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</si>
  <si>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</si>
  <si>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</si>
  <si>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</si>
  <si>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</si>
  <si>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</si>
  <si>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</si>
  <si>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</si>
  <si>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</si>
  <si>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</si>
  <si>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</si>
  <si>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</si>
  <si>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</si>
  <si>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</si>
  <si>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</si>
  <si>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</si>
  <si>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</si>
  <si>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</si>
  <si>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</si>
  <si>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</si>
  <si>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</si>
  <si>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</si>
  <si>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</si>
  <si>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</si>
  <si>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</si>
  <si>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</si>
  <si>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</si>
  <si>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</si>
  <si>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</si>
  <si>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</si>
  <si>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</si>
  <si>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</si>
  <si>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</si>
  <si>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</si>
  <si>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</si>
  <si>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</si>
  <si>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</si>
  <si>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</si>
  <si>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</si>
  <si>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</si>
  <si>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</si>
  <si>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</si>
  <si>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</si>
  <si>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</si>
  <si>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</si>
  <si>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</si>
  <si>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</si>
  <si>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</si>
  <si>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</si>
  <si>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</si>
  <si>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</si>
  <si>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</si>
  <si>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</si>
  <si>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</si>
  <si>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</si>
  <si>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</si>
  <si>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</si>
  <si>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</si>
  <si>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</si>
  <si>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</si>
  <si>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</si>
  <si>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</si>
  <si>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</si>
  <si>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</si>
  <si>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</si>
  <si>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</si>
  <si>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</si>
  <si>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</si>
  <si>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</si>
  <si>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</si>
  <si>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</si>
  <si>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</si>
  <si>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</si>
  <si>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</si>
  <si>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</si>
  <si>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</si>
  <si>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</si>
  <si>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</si>
  <si>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</si>
  <si>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</si>
  <si>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</si>
  <si>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</si>
  <si>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</si>
  <si>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</si>
  <si>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</si>
  <si>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</si>
  <si>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</si>
  <si>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</si>
  <si>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</si>
  <si>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</si>
  <si>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</si>
  <si>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</si>
  <si>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</si>
  <si>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</si>
  <si>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</si>
  <si>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</si>
  <si>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</si>
  <si>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</si>
  <si>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</si>
  <si>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</si>
  <si>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</si>
  <si>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</si>
  <si>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</si>
  <si>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</si>
  <si>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</si>
  <si>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</si>
  <si>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</si>
  <si>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</si>
  <si>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</si>
  <si>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</si>
  <si>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</si>
  <si>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</si>
  <si>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</si>
  <si>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</si>
  <si>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</si>
  <si>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</si>
  <si>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</si>
  <si>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</si>
  <si>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</si>
  <si>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</si>
  <si>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</si>
  <si>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</si>
  <si>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</si>
  <si>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</si>
  <si>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</si>
  <si>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</si>
  <si>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</si>
  <si>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</si>
  <si>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</si>
  <si>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</si>
  <si>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</si>
  <si>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</si>
  <si>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</si>
  <si>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</si>
  <si>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</si>
  <si>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</si>
  <si>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</si>
  <si>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</si>
  <si>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</si>
  <si>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</si>
  <si>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</si>
  <si>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</si>
  <si>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</si>
  <si>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</si>
  <si>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</si>
  <si>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</si>
  <si>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</si>
  <si>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</si>
  <si>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</si>
  <si>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</si>
  <si>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</si>
  <si>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</si>
  <si>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</si>
  <si>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</si>
  <si>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</si>
  <si>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</si>
  <si>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</si>
  <si>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</si>
  <si>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</si>
  <si>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</si>
  <si>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</si>
  <si>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</si>
  <si>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</si>
  <si>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</si>
  <si>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</si>
  <si>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</si>
  <si>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</si>
  <si>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</si>
  <si>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</si>
  <si>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</si>
  <si>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</si>
  <si>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</si>
  <si>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</si>
  <si>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</si>
  <si>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</si>
  <si>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</si>
  <si>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</si>
  <si>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</si>
  <si>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</si>
  <si>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</si>
  <si>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</si>
  <si>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</si>
  <si>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</si>
  <si>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</si>
  <si>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</si>
  <si>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</si>
  <si>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</si>
  <si>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</si>
  <si>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</si>
  <si>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</si>
  <si>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</si>
  <si>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</si>
  <si>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</si>
  <si>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</si>
  <si>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</si>
  <si>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</si>
  <si>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</si>
  <si>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</si>
  <si>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Yamba</t>
  </si>
  <si>
    <t>Australia</t>
  </si>
  <si>
    <t>1900-1945, 1964-1983</t>
  </si>
  <si>
    <t>Ballina</t>
  </si>
  <si>
    <t>1897-1945, 1964-1985</t>
  </si>
  <si>
    <t>Isle de Naos</t>
  </si>
  <si>
    <t>La Rochelle, Vieux Port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</si>
  <si>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</si>
  <si>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</si>
  <si>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</si>
  <si>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</si>
  <si>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</si>
  <si>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</si>
  <si>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</si>
  <si>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</si>
  <si>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</si>
  <si>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</si>
  <si>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</si>
  <si>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</si>
  <si>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</si>
  <si>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</si>
  <si>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</si>
  <si>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</si>
  <si>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</si>
  <si>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</si>
  <si>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</si>
  <si>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</si>
  <si>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</si>
  <si>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</si>
  <si>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</si>
  <si>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</si>
  <si>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</si>
  <si>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</si>
  <si>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</si>
  <si>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</si>
  <si>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</si>
  <si>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</si>
  <si>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</si>
  <si>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</si>
  <si>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</si>
  <si>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</si>
  <si>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</si>
  <si>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</si>
  <si>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</si>
  <si>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</si>
  <si>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</si>
  <si>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</si>
  <si>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</si>
  <si>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</si>
  <si>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</si>
  <si>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</si>
  <si>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</si>
  <si>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</si>
  <si>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</si>
  <si>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</si>
  <si>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</si>
  <si>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</si>
  <si>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</si>
  <si>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</si>
  <si>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</si>
  <si>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</si>
  <si>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</si>
  <si>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</si>
  <si>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</si>
  <si>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</si>
  <si>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</si>
  <si>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</si>
  <si>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</si>
  <si>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</si>
  <si>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</si>
  <si>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</si>
  <si>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</si>
  <si>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</si>
  <si>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</si>
  <si>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</si>
  <si>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</si>
  <si>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</si>
  <si>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</si>
  <si>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</si>
  <si>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</si>
  <si>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</si>
  <si>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</si>
  <si>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</si>
  <si>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</si>
  <si>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</si>
  <si>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</si>
  <si>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</si>
  <si>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</si>
  <si>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</si>
  <si>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</si>
  <si>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</si>
  <si>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</si>
  <si>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</si>
  <si>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</si>
  <si>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</si>
  <si>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</si>
  <si>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</si>
  <si>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</si>
  <si>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</si>
  <si>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</si>
  <si>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</si>
  <si>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</si>
  <si>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</si>
  <si>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</si>
  <si>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</si>
  <si>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</si>
  <si>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</si>
  <si>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</si>
  <si>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</si>
  <si>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</si>
  <si>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</si>
  <si>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</si>
  <si>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</si>
  <si>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</si>
  <si>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</si>
  <si>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</si>
  <si>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</si>
  <si>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</si>
  <si>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</si>
  <si>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</si>
  <si>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</si>
  <si>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</si>
  <si>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</si>
  <si>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</si>
  <si>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</si>
  <si>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</si>
  <si>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</si>
  <si>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</si>
  <si>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</si>
  <si>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</si>
  <si>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</si>
  <si>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</si>
  <si>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</si>
  <si>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</si>
  <si>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</si>
  <si>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Acosta Bridge</t>
  </si>
  <si>
    <t>Dorset Lake</t>
  </si>
  <si>
    <t>01/04/1981 -18/06/1981, 07/07/1981 - 31/12/1981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</si>
  <si>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</si>
  <si>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Holes Bay</t>
  </si>
  <si>
    <t>01/01/1980 - 04/08/1980, 24/03/1981 - 31/12/1981</t>
  </si>
  <si>
    <t>Walton-on-Naze</t>
  </si>
  <si>
    <t>Margate Harbour</t>
  </si>
  <si>
    <t>Shivering Sand</t>
  </si>
  <si>
    <t>Southend</t>
  </si>
  <si>
    <t>Coryton</t>
  </si>
  <si>
    <t>Tilbury</t>
  </si>
  <si>
    <t>Gallions Pier (Albert Dock)</t>
  </si>
  <si>
    <t>Tower Pier</t>
  </si>
  <si>
    <t>Old Swan Pier</t>
  </si>
  <si>
    <t>Quai Nord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</si>
  <si>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</si>
  <si>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</si>
  <si>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</si>
  <si>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</si>
  <si>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</si>
  <si>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</si>
  <si>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</si>
  <si>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</si>
  <si>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</si>
  <si>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</si>
  <si>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</si>
  <si>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</si>
  <si>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</si>
  <si>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</si>
  <si>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</si>
  <si>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</si>
  <si>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</si>
  <si>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</si>
  <si>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</si>
  <si>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</si>
  <si>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</si>
  <si>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</si>
  <si>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</si>
  <si>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</si>
  <si>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</si>
  <si>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</si>
  <si>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</si>
  <si>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</si>
  <si>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</si>
  <si>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</si>
  <si>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</si>
  <si>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</si>
  <si>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</si>
  <si>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No. Recorded years</t>
  </si>
  <si>
    <t>No. Missing years</t>
  </si>
  <si>
    <t>In review</t>
  </si>
  <si>
    <t>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</t>
  </si>
  <si>
    <t>https://www.jstor.org/stable/4496116?seq=3</t>
  </si>
  <si>
    <t>https://www.sciencedirect.com/science/article/pii/S0278434306003888#sec2</t>
  </si>
  <si>
    <t>https://theses.hal.science/tel-00353660/</t>
  </si>
  <si>
    <t>https://sonel.univ-lr.fr/IMG/pdf/caldwell_2012unesco.pdf</t>
  </si>
  <si>
    <t>https://www.sciencedirect.com/science/article/pii/S0278434313001283#f0010</t>
  </si>
  <si>
    <t>https://pdxscholar.library.pdx.edu/cgi/viewcontent.cgi?article=1426&amp;context=cengin_fac</t>
  </si>
  <si>
    <t>https://agupubs.onlinelibrary.wiley.com/doi/full/10.1029/2020JC016328</t>
  </si>
  <si>
    <t>https://southerncoastalgroup-scopac.org.uk/wp-content/uploads/2022/01/Digitisation-and-Analysis-of-Poole-Harbour-Tide-Gauge-Record-September-2021.pdf</t>
  </si>
  <si>
    <t>https://www.proquest.com/docview/2649433831?fromopenview=true&amp;pq-origsite=gscholar&amp;sourcetype=Scholarly%20Journals</t>
  </si>
  <si>
    <t>https://www.scirp.org/pdf/jwarp_2023101914441059.pdf</t>
  </si>
  <si>
    <t>Coquitlan Townsite (Pitt River)</t>
  </si>
  <si>
    <t>New Westminster  (Fraser River)</t>
  </si>
  <si>
    <t>Garry Point (Fraser River)</t>
  </si>
  <si>
    <t>Le Havre (Sémaphore)</t>
  </si>
  <si>
    <t>Le Havre (Dragages)</t>
  </si>
  <si>
    <t>St. Marlo (St. Servan)</t>
  </si>
  <si>
    <t>Brest (La Pallice)</t>
  </si>
  <si>
    <t>Silvertown (North Woolwich)</t>
  </si>
  <si>
    <t>New York (Governor's Island)</t>
  </si>
  <si>
    <t>Toke point (Willapa Bay)</t>
  </si>
  <si>
    <t>West Point (York River)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</si>
</sst>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2" fontId="3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3" fillId="0" borderId="1" xfId="0" applyFont="1" applyBorder="1"/>
    <xf numFmtId="0" fontId="2" fillId="0" borderId="0" xfId="1"/>
    <xf numFmtId="0" fontId="2" fillId="0" borderId="2" xfId="1" applyFill="1" applyBorder="1"/>
    <xf numFmtId="0" fontId="2" fillId="0" borderId="0" xfId="1" applyFill="1" applyBorder="1"/>
    <xf numFmtId="3" fontId="0" fillId="0" borderId="1" xfId="0" applyNumberFormat="1" applyBorder="1"/>
    <xf numFmtId="0" fontId="3" fillId="0" borderId="1" xfId="0" applyFont="1" applyBorder="1" applyAlignment="1">
      <alignment wrapText="1"/>
    </xf>
    <xf numFmtId="0" fontId="7" fillId="0" borderId="1" xfId="0" applyFont="1" applyBorder="1"/>
    <xf numFmtId="0" fontId="3" fillId="0" borderId="1" xfId="0" applyFont="1" applyBorder="1" applyAlignment="1">
      <alignment vertical="center" wrapText="1"/>
    </xf>
    <xf numFmtId="0" fontId="2" fillId="0" borderId="1" xfId="1" applyFill="1" applyBorder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eses.hal.science/tel-00353660/" TargetMode="External"/><Relationship Id="rId299" Type="http://schemas.openxmlformats.org/officeDocument/2006/relationships/hyperlink" Target="https://theses.hal.science/tel-00353660/" TargetMode="External"/><Relationship Id="rId2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3" Type="http://schemas.openxmlformats.org/officeDocument/2006/relationships/hyperlink" Target="https://theses.hal.science/tel-00353660/" TargetMode="External"/><Relationship Id="rId159" Type="http://schemas.openxmlformats.org/officeDocument/2006/relationships/hyperlink" Target="https://theses.hal.science/tel-00353660/" TargetMode="External"/><Relationship Id="rId324" Type="http://schemas.openxmlformats.org/officeDocument/2006/relationships/hyperlink" Target="https://theses.hal.science/tel-00353660/" TargetMode="External"/><Relationship Id="rId366" Type="http://schemas.openxmlformats.org/officeDocument/2006/relationships/hyperlink" Target="https://theses.hal.science/tel-00353660/" TargetMode="External"/><Relationship Id="rId170" Type="http://schemas.openxmlformats.org/officeDocument/2006/relationships/hyperlink" Target="https://theses.hal.science/tel-00353660/" TargetMode="External"/><Relationship Id="rId226" Type="http://schemas.openxmlformats.org/officeDocument/2006/relationships/hyperlink" Target="https://theses.hal.science/tel-00353660/" TargetMode="External"/><Relationship Id="rId268" Type="http://schemas.openxmlformats.org/officeDocument/2006/relationships/hyperlink" Target="https://theses.hal.science/tel-00353660/" TargetMode="External"/><Relationship Id="rId32" Type="http://schemas.openxmlformats.org/officeDocument/2006/relationships/hyperlink" Target="https://theses.hal.science/tel-00353660/" TargetMode="External"/><Relationship Id="rId74" Type="http://schemas.openxmlformats.org/officeDocument/2006/relationships/hyperlink" Target="https://theses.hal.science/tel-00353660/" TargetMode="External"/><Relationship Id="rId128" Type="http://schemas.openxmlformats.org/officeDocument/2006/relationships/hyperlink" Target="https://theses.hal.science/tel-00353660/" TargetMode="External"/><Relationship Id="rId335" Type="http://schemas.openxmlformats.org/officeDocument/2006/relationships/hyperlink" Target="https://theses.hal.science/tel-00353660/" TargetMode="External"/><Relationship Id="rId377" Type="http://schemas.openxmlformats.org/officeDocument/2006/relationships/hyperlink" Target="https://sonel.univ-lr.fr/IMG/pdf/caldwell_2012unesco.pdf" TargetMode="External"/><Relationship Id="rId5" Type="http://schemas.openxmlformats.org/officeDocument/2006/relationships/hyperlink" Target="https://sonel.univ-lr.fr/IMG/pdf/caldwell_2012unesco.pdf" TargetMode="External"/><Relationship Id="rId181" Type="http://schemas.openxmlformats.org/officeDocument/2006/relationships/hyperlink" Target="https://theses.hal.science/tel-00353660/" TargetMode="External"/><Relationship Id="rId237" Type="http://schemas.openxmlformats.org/officeDocument/2006/relationships/hyperlink" Target="https://theses.hal.science/tel-00353660/" TargetMode="External"/><Relationship Id="rId402" Type="http://schemas.openxmlformats.org/officeDocument/2006/relationships/hyperlink" Target="https://sonel.univ-lr.fr/IMG/pdf/caldwell_2012unesco.pdf" TargetMode="External"/><Relationship Id="rId279" Type="http://schemas.openxmlformats.org/officeDocument/2006/relationships/hyperlink" Target="https://theses.hal.science/tel-00353660/" TargetMode="External"/><Relationship Id="rId43" Type="http://schemas.openxmlformats.org/officeDocument/2006/relationships/hyperlink" Target="https://theses.hal.science/tel-00353660/" TargetMode="External"/><Relationship Id="rId139" Type="http://schemas.openxmlformats.org/officeDocument/2006/relationships/hyperlink" Target="https://theses.hal.science/tel-00353660/" TargetMode="External"/><Relationship Id="rId290" Type="http://schemas.openxmlformats.org/officeDocument/2006/relationships/hyperlink" Target="https://theses.hal.science/tel-00353660/" TargetMode="External"/><Relationship Id="rId304" Type="http://schemas.openxmlformats.org/officeDocument/2006/relationships/hyperlink" Target="https://theses.hal.science/tel-00353660/" TargetMode="External"/><Relationship Id="rId346" Type="http://schemas.openxmlformats.org/officeDocument/2006/relationships/hyperlink" Target="https://theses.hal.science/tel-00353660/" TargetMode="External"/><Relationship Id="rId388" Type="http://schemas.openxmlformats.org/officeDocument/2006/relationships/hyperlink" Target="https://sonel.univ-lr.fr/IMG/pdf/caldwell_2012unesco.pdf" TargetMode="External"/><Relationship Id="rId85" Type="http://schemas.openxmlformats.org/officeDocument/2006/relationships/hyperlink" Target="https://theses.hal.science/tel-00353660/" TargetMode="External"/><Relationship Id="rId150" Type="http://schemas.openxmlformats.org/officeDocument/2006/relationships/hyperlink" Target="https://theses.hal.science/tel-00353660/" TargetMode="External"/><Relationship Id="rId192" Type="http://schemas.openxmlformats.org/officeDocument/2006/relationships/hyperlink" Target="https://theses.hal.science/tel-00353660/" TargetMode="External"/><Relationship Id="rId206" Type="http://schemas.openxmlformats.org/officeDocument/2006/relationships/hyperlink" Target="https://theses.hal.science/tel-00353660/" TargetMode="External"/><Relationship Id="rId413" Type="http://schemas.openxmlformats.org/officeDocument/2006/relationships/hyperlink" Target="https://pdxscholar.library.pdx.edu/cgi/viewcontent.cgi?article=1426&amp;context=cengin_fac" TargetMode="External"/><Relationship Id="rId248" Type="http://schemas.openxmlformats.org/officeDocument/2006/relationships/hyperlink" Target="https://theses.hal.science/tel-00353660/" TargetMode="External"/><Relationship Id="rId1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08" Type="http://schemas.openxmlformats.org/officeDocument/2006/relationships/hyperlink" Target="https://theses.hal.science/tel-00353660/" TargetMode="External"/><Relationship Id="rId315" Type="http://schemas.openxmlformats.org/officeDocument/2006/relationships/hyperlink" Target="https://theses.hal.science/tel-00353660/" TargetMode="External"/><Relationship Id="rId357" Type="http://schemas.openxmlformats.org/officeDocument/2006/relationships/hyperlink" Target="https://theses.hal.science/tel-00353660/" TargetMode="External"/><Relationship Id="rId54" Type="http://schemas.openxmlformats.org/officeDocument/2006/relationships/hyperlink" Target="https://theses.hal.science/tel-00353660/" TargetMode="External"/><Relationship Id="rId96" Type="http://schemas.openxmlformats.org/officeDocument/2006/relationships/hyperlink" Target="https://theses.hal.science/tel-00353660/" TargetMode="External"/><Relationship Id="rId161" Type="http://schemas.openxmlformats.org/officeDocument/2006/relationships/hyperlink" Target="https://theses.hal.science/tel-00353660/" TargetMode="External"/><Relationship Id="rId217" Type="http://schemas.openxmlformats.org/officeDocument/2006/relationships/hyperlink" Target="https://theses.hal.science/tel-00353660/" TargetMode="External"/><Relationship Id="rId399" Type="http://schemas.openxmlformats.org/officeDocument/2006/relationships/hyperlink" Target="https://sonel.univ-lr.fr/IMG/pdf/caldwell_2012unesco.pdf" TargetMode="External"/><Relationship Id="rId259" Type="http://schemas.openxmlformats.org/officeDocument/2006/relationships/hyperlink" Target="https://theses.hal.science/tel-00353660/" TargetMode="External"/><Relationship Id="rId2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19" Type="http://schemas.openxmlformats.org/officeDocument/2006/relationships/hyperlink" Target="https://theses.hal.science/tel-00353660/" TargetMode="External"/><Relationship Id="rId270" Type="http://schemas.openxmlformats.org/officeDocument/2006/relationships/hyperlink" Target="https://theses.hal.science/tel-00353660/" TargetMode="External"/><Relationship Id="rId326" Type="http://schemas.openxmlformats.org/officeDocument/2006/relationships/hyperlink" Target="https://theses.hal.science/tel-00353660/" TargetMode="External"/><Relationship Id="rId65" Type="http://schemas.openxmlformats.org/officeDocument/2006/relationships/hyperlink" Target="https://theses.hal.science/tel-00353660/" TargetMode="External"/><Relationship Id="rId130" Type="http://schemas.openxmlformats.org/officeDocument/2006/relationships/hyperlink" Target="https://theses.hal.science/tel-00353660/" TargetMode="External"/><Relationship Id="rId368" Type="http://schemas.openxmlformats.org/officeDocument/2006/relationships/hyperlink" Target="https://theses.hal.science/tel-00353660/" TargetMode="External"/><Relationship Id="rId172" Type="http://schemas.openxmlformats.org/officeDocument/2006/relationships/hyperlink" Target="https://theses.hal.science/tel-00353660/" TargetMode="External"/><Relationship Id="rId228" Type="http://schemas.openxmlformats.org/officeDocument/2006/relationships/hyperlink" Target="https://theses.hal.science/tel-00353660/" TargetMode="External"/><Relationship Id="rId281" Type="http://schemas.openxmlformats.org/officeDocument/2006/relationships/hyperlink" Target="https://theses.hal.science/tel-00353660/" TargetMode="External"/><Relationship Id="rId337" Type="http://schemas.openxmlformats.org/officeDocument/2006/relationships/hyperlink" Target="https://theses.hal.science/tel-00353660/" TargetMode="External"/><Relationship Id="rId34" Type="http://schemas.openxmlformats.org/officeDocument/2006/relationships/hyperlink" Target="https://theses.hal.science/tel-00353660/" TargetMode="External"/><Relationship Id="rId76" Type="http://schemas.openxmlformats.org/officeDocument/2006/relationships/hyperlink" Target="https://theses.hal.science/tel-00353660/" TargetMode="External"/><Relationship Id="rId141" Type="http://schemas.openxmlformats.org/officeDocument/2006/relationships/hyperlink" Target="https://theses.hal.science/tel-00353660/" TargetMode="External"/><Relationship Id="rId379" Type="http://schemas.openxmlformats.org/officeDocument/2006/relationships/hyperlink" Target="https://sonel.univ-lr.fr/IMG/pdf/caldwell_2012unesco.pdf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83" Type="http://schemas.openxmlformats.org/officeDocument/2006/relationships/hyperlink" Target="https://theses.hal.science/tel-00353660/" TargetMode="External"/><Relationship Id="rId239" Type="http://schemas.openxmlformats.org/officeDocument/2006/relationships/hyperlink" Target="https://theses.hal.science/tel-00353660/" TargetMode="External"/><Relationship Id="rId390" Type="http://schemas.openxmlformats.org/officeDocument/2006/relationships/hyperlink" Target="https://sonel.univ-lr.fr/IMG/pdf/caldwell_2012unesco.pdf" TargetMode="External"/><Relationship Id="rId404" Type="http://schemas.openxmlformats.org/officeDocument/2006/relationships/hyperlink" Target="https://sonel.univ-lr.fr/IMG/pdf/caldwell_2012unesco.pdf" TargetMode="External"/><Relationship Id="rId250" Type="http://schemas.openxmlformats.org/officeDocument/2006/relationships/hyperlink" Target="https://theses.hal.science/tel-00353660/" TargetMode="External"/><Relationship Id="rId292" Type="http://schemas.openxmlformats.org/officeDocument/2006/relationships/hyperlink" Target="https://theses.hal.science/tel-00353660/" TargetMode="External"/><Relationship Id="rId306" Type="http://schemas.openxmlformats.org/officeDocument/2006/relationships/hyperlink" Target="https://theses.hal.science/tel-00353660/" TargetMode="External"/><Relationship Id="rId45" Type="http://schemas.openxmlformats.org/officeDocument/2006/relationships/hyperlink" Target="https://theses.hal.science/tel-00353660/" TargetMode="External"/><Relationship Id="rId87" Type="http://schemas.openxmlformats.org/officeDocument/2006/relationships/hyperlink" Target="https://theses.hal.science/tel-00353660/" TargetMode="External"/><Relationship Id="rId110" Type="http://schemas.openxmlformats.org/officeDocument/2006/relationships/hyperlink" Target="https://theses.hal.science/tel-00353660/" TargetMode="External"/><Relationship Id="rId348" Type="http://schemas.openxmlformats.org/officeDocument/2006/relationships/hyperlink" Target="https://theses.hal.science/tel-00353660/" TargetMode="External"/><Relationship Id="rId152" Type="http://schemas.openxmlformats.org/officeDocument/2006/relationships/hyperlink" Target="https://theses.hal.science/tel-00353660/" TargetMode="External"/><Relationship Id="rId194" Type="http://schemas.openxmlformats.org/officeDocument/2006/relationships/hyperlink" Target="https://theses.hal.science/tel-00353660/" TargetMode="External"/><Relationship Id="rId208" Type="http://schemas.openxmlformats.org/officeDocument/2006/relationships/hyperlink" Target="https://theses.hal.science/tel-00353660/" TargetMode="External"/><Relationship Id="rId415" Type="http://schemas.openxmlformats.org/officeDocument/2006/relationships/hyperlink" Target="https://www.proquest.com/docview/2649433831?fromopenview=true&amp;pq-origsite=gscholar&amp;sourcetype=Scholarly%20Journals" TargetMode="External"/><Relationship Id="rId261" Type="http://schemas.openxmlformats.org/officeDocument/2006/relationships/hyperlink" Target="https://theses.hal.science/tel-00353660/" TargetMode="External"/><Relationship Id="rId1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56" Type="http://schemas.openxmlformats.org/officeDocument/2006/relationships/hyperlink" Target="https://theses.hal.science/tel-00353660/" TargetMode="External"/><Relationship Id="rId317" Type="http://schemas.openxmlformats.org/officeDocument/2006/relationships/hyperlink" Target="https://theses.hal.science/tel-00353660/" TargetMode="External"/><Relationship Id="rId359" Type="http://schemas.openxmlformats.org/officeDocument/2006/relationships/hyperlink" Target="https://theses.hal.science/tel-00353660/" TargetMode="External"/><Relationship Id="rId98" Type="http://schemas.openxmlformats.org/officeDocument/2006/relationships/hyperlink" Target="https://theses.hal.science/tel-00353660/" TargetMode="External"/><Relationship Id="rId121" Type="http://schemas.openxmlformats.org/officeDocument/2006/relationships/hyperlink" Target="https://theses.hal.science/tel-00353660/" TargetMode="External"/><Relationship Id="rId163" Type="http://schemas.openxmlformats.org/officeDocument/2006/relationships/hyperlink" Target="https://theses.hal.science/tel-00353660/" TargetMode="External"/><Relationship Id="rId219" Type="http://schemas.openxmlformats.org/officeDocument/2006/relationships/hyperlink" Target="https://theses.hal.science/tel-00353660/" TargetMode="External"/><Relationship Id="rId370" Type="http://schemas.openxmlformats.org/officeDocument/2006/relationships/hyperlink" Target="https://theses.hal.science/tel-00353660/" TargetMode="External"/><Relationship Id="rId230" Type="http://schemas.openxmlformats.org/officeDocument/2006/relationships/hyperlink" Target="https://theses.hal.science/tel-00353660/" TargetMode="External"/><Relationship Id="rId2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7" Type="http://schemas.openxmlformats.org/officeDocument/2006/relationships/hyperlink" Target="https://theses.hal.science/tel-00353660/" TargetMode="External"/><Relationship Id="rId272" Type="http://schemas.openxmlformats.org/officeDocument/2006/relationships/hyperlink" Target="https://theses.hal.science/tel-00353660/" TargetMode="External"/><Relationship Id="rId328" Type="http://schemas.openxmlformats.org/officeDocument/2006/relationships/hyperlink" Target="https://theses.hal.science/tel-00353660/" TargetMode="External"/><Relationship Id="rId132" Type="http://schemas.openxmlformats.org/officeDocument/2006/relationships/hyperlink" Target="https://theses.hal.science/tel-00353660/" TargetMode="External"/><Relationship Id="rId174" Type="http://schemas.openxmlformats.org/officeDocument/2006/relationships/hyperlink" Target="https://theses.hal.science/tel-00353660/" TargetMode="External"/><Relationship Id="rId381" Type="http://schemas.openxmlformats.org/officeDocument/2006/relationships/hyperlink" Target="https://sonel.univ-lr.fr/IMG/pdf/caldwell_2012unesco.pdf" TargetMode="External"/><Relationship Id="rId241" Type="http://schemas.openxmlformats.org/officeDocument/2006/relationships/hyperlink" Target="https://theses.hal.science/tel-00353660/" TargetMode="External"/><Relationship Id="rId36" Type="http://schemas.openxmlformats.org/officeDocument/2006/relationships/hyperlink" Target="https://theses.hal.science/tel-00353660/" TargetMode="External"/><Relationship Id="rId283" Type="http://schemas.openxmlformats.org/officeDocument/2006/relationships/hyperlink" Target="https://theses.hal.science/tel-00353660/" TargetMode="External"/><Relationship Id="rId339" Type="http://schemas.openxmlformats.org/officeDocument/2006/relationships/hyperlink" Target="https://theses.hal.science/tel-00353660/" TargetMode="External"/><Relationship Id="rId78" Type="http://schemas.openxmlformats.org/officeDocument/2006/relationships/hyperlink" Target="https://theses.hal.science/tel-00353660/" TargetMode="External"/><Relationship Id="rId101" Type="http://schemas.openxmlformats.org/officeDocument/2006/relationships/hyperlink" Target="https://theses.hal.science/tel-00353660/" TargetMode="External"/><Relationship Id="rId143" Type="http://schemas.openxmlformats.org/officeDocument/2006/relationships/hyperlink" Target="https://theses.hal.science/tel-00353660/" TargetMode="External"/><Relationship Id="rId185" Type="http://schemas.openxmlformats.org/officeDocument/2006/relationships/hyperlink" Target="https://theses.hal.science/tel-00353660/" TargetMode="External"/><Relationship Id="rId350" Type="http://schemas.openxmlformats.org/officeDocument/2006/relationships/hyperlink" Target="https://theses.hal.science/tel-00353660/" TargetMode="External"/><Relationship Id="rId406" Type="http://schemas.openxmlformats.org/officeDocument/2006/relationships/hyperlink" Target="https://sonel.univ-lr.fr/IMG/pdf/caldwell_2012unesco.pdf" TargetMode="External"/><Relationship Id="rId9" Type="http://schemas.openxmlformats.org/officeDocument/2006/relationships/hyperlink" Target="https://www.sciencedirect.com/science/article/pii/S0278434313001283" TargetMode="External"/><Relationship Id="rId210" Type="http://schemas.openxmlformats.org/officeDocument/2006/relationships/hyperlink" Target="https://theses.hal.science/tel-00353660/" TargetMode="External"/><Relationship Id="rId392" Type="http://schemas.openxmlformats.org/officeDocument/2006/relationships/hyperlink" Target="https://sonel.univ-lr.fr/IMG/pdf/caldwell_2012unesco.pdf" TargetMode="External"/><Relationship Id="rId252" Type="http://schemas.openxmlformats.org/officeDocument/2006/relationships/hyperlink" Target="https://theses.hal.science/tel-00353660/" TargetMode="External"/><Relationship Id="rId294" Type="http://schemas.openxmlformats.org/officeDocument/2006/relationships/hyperlink" Target="https://theses.hal.science/tel-00353660/" TargetMode="External"/><Relationship Id="rId308" Type="http://schemas.openxmlformats.org/officeDocument/2006/relationships/hyperlink" Target="https://theses.hal.science/tel-00353660/" TargetMode="External"/><Relationship Id="rId47" Type="http://schemas.openxmlformats.org/officeDocument/2006/relationships/hyperlink" Target="https://theses.hal.science/tel-00353660/" TargetMode="External"/><Relationship Id="rId89" Type="http://schemas.openxmlformats.org/officeDocument/2006/relationships/hyperlink" Target="https://theses.hal.science/tel-00353660/" TargetMode="External"/><Relationship Id="rId112" Type="http://schemas.openxmlformats.org/officeDocument/2006/relationships/hyperlink" Target="https://theses.hal.science/tel-00353660/" TargetMode="External"/><Relationship Id="rId154" Type="http://schemas.openxmlformats.org/officeDocument/2006/relationships/hyperlink" Target="https://theses.hal.science/tel-00353660/" TargetMode="External"/><Relationship Id="rId361" Type="http://schemas.openxmlformats.org/officeDocument/2006/relationships/hyperlink" Target="https://theses.hal.science/tel-00353660/" TargetMode="External"/><Relationship Id="rId196" Type="http://schemas.openxmlformats.org/officeDocument/2006/relationships/hyperlink" Target="https://theses.hal.science/tel-00353660/" TargetMode="External"/><Relationship Id="rId16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21" Type="http://schemas.openxmlformats.org/officeDocument/2006/relationships/hyperlink" Target="https://theses.hal.science/tel-00353660/" TargetMode="External"/><Relationship Id="rId263" Type="http://schemas.openxmlformats.org/officeDocument/2006/relationships/hyperlink" Target="https://theses.hal.science/tel-00353660/" TargetMode="External"/><Relationship Id="rId319" Type="http://schemas.openxmlformats.org/officeDocument/2006/relationships/hyperlink" Target="https://theses.hal.science/tel-00353660/" TargetMode="External"/><Relationship Id="rId58" Type="http://schemas.openxmlformats.org/officeDocument/2006/relationships/hyperlink" Target="https://theses.hal.science/tel-00353660/" TargetMode="External"/><Relationship Id="rId123" Type="http://schemas.openxmlformats.org/officeDocument/2006/relationships/hyperlink" Target="https://theses.hal.science/tel-00353660/" TargetMode="External"/><Relationship Id="rId330" Type="http://schemas.openxmlformats.org/officeDocument/2006/relationships/hyperlink" Target="https://theses.hal.science/tel-00353660/" TargetMode="External"/><Relationship Id="rId165" Type="http://schemas.openxmlformats.org/officeDocument/2006/relationships/hyperlink" Target="https://theses.hal.science/tel-00353660/" TargetMode="External"/><Relationship Id="rId372" Type="http://schemas.openxmlformats.org/officeDocument/2006/relationships/hyperlink" Target="https://sonel.univ-lr.fr/IMG/pdf/caldwell_2012unesco.pdf" TargetMode="External"/><Relationship Id="rId232" Type="http://schemas.openxmlformats.org/officeDocument/2006/relationships/hyperlink" Target="https://theses.hal.science/tel-00353660/" TargetMode="External"/><Relationship Id="rId274" Type="http://schemas.openxmlformats.org/officeDocument/2006/relationships/hyperlink" Target="https://theses.hal.science/tel-00353660/" TargetMode="External"/><Relationship Id="rId2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9" Type="http://schemas.openxmlformats.org/officeDocument/2006/relationships/hyperlink" Target="https://theses.hal.science/tel-00353660/" TargetMode="External"/><Relationship Id="rId134" Type="http://schemas.openxmlformats.org/officeDocument/2006/relationships/hyperlink" Target="https://theses.hal.science/tel-00353660/" TargetMode="External"/><Relationship Id="rId80" Type="http://schemas.openxmlformats.org/officeDocument/2006/relationships/hyperlink" Target="https://theses.hal.science/tel-00353660/" TargetMode="External"/><Relationship Id="rId155" Type="http://schemas.openxmlformats.org/officeDocument/2006/relationships/hyperlink" Target="https://theses.hal.science/tel-00353660/" TargetMode="External"/><Relationship Id="rId176" Type="http://schemas.openxmlformats.org/officeDocument/2006/relationships/hyperlink" Target="https://theses.hal.science/tel-00353660/" TargetMode="External"/><Relationship Id="rId197" Type="http://schemas.openxmlformats.org/officeDocument/2006/relationships/hyperlink" Target="https://theses.hal.science/tel-00353660/" TargetMode="External"/><Relationship Id="rId341" Type="http://schemas.openxmlformats.org/officeDocument/2006/relationships/hyperlink" Target="https://theses.hal.science/tel-00353660/" TargetMode="External"/><Relationship Id="rId362" Type="http://schemas.openxmlformats.org/officeDocument/2006/relationships/hyperlink" Target="https://theses.hal.science/tel-00353660/" TargetMode="External"/><Relationship Id="rId383" Type="http://schemas.openxmlformats.org/officeDocument/2006/relationships/hyperlink" Target="https://sonel.univ-lr.fr/IMG/pdf/caldwell_2012unesco.pdf" TargetMode="External"/><Relationship Id="rId201" Type="http://schemas.openxmlformats.org/officeDocument/2006/relationships/hyperlink" Target="https://theses.hal.science/tel-00353660/" TargetMode="External"/><Relationship Id="rId222" Type="http://schemas.openxmlformats.org/officeDocument/2006/relationships/hyperlink" Target="https://theses.hal.science/tel-00353660/" TargetMode="External"/><Relationship Id="rId243" Type="http://schemas.openxmlformats.org/officeDocument/2006/relationships/hyperlink" Target="https://theses.hal.science/tel-00353660/" TargetMode="External"/><Relationship Id="rId264" Type="http://schemas.openxmlformats.org/officeDocument/2006/relationships/hyperlink" Target="https://theses.hal.science/tel-00353660/" TargetMode="External"/><Relationship Id="rId285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38" Type="http://schemas.openxmlformats.org/officeDocument/2006/relationships/hyperlink" Target="https://theses.hal.science/tel-00353660/" TargetMode="External"/><Relationship Id="rId59" Type="http://schemas.openxmlformats.org/officeDocument/2006/relationships/hyperlink" Target="https://theses.hal.science/tel-00353660/" TargetMode="External"/><Relationship Id="rId103" Type="http://schemas.openxmlformats.org/officeDocument/2006/relationships/hyperlink" Target="https://theses.hal.science/tel-00353660/" TargetMode="External"/><Relationship Id="rId124" Type="http://schemas.openxmlformats.org/officeDocument/2006/relationships/hyperlink" Target="https://theses.hal.science/tel-00353660/" TargetMode="External"/><Relationship Id="rId310" Type="http://schemas.openxmlformats.org/officeDocument/2006/relationships/hyperlink" Target="https://theses.hal.science/tel-00353660/" TargetMode="External"/><Relationship Id="rId70" Type="http://schemas.openxmlformats.org/officeDocument/2006/relationships/hyperlink" Target="https://theses.hal.science/tel-00353660/" TargetMode="External"/><Relationship Id="rId91" Type="http://schemas.openxmlformats.org/officeDocument/2006/relationships/hyperlink" Target="https://theses.hal.science/tel-00353660/" TargetMode="External"/><Relationship Id="rId145" Type="http://schemas.openxmlformats.org/officeDocument/2006/relationships/hyperlink" Target="https://theses.hal.science/tel-00353660/" TargetMode="External"/><Relationship Id="rId166" Type="http://schemas.openxmlformats.org/officeDocument/2006/relationships/hyperlink" Target="https://theses.hal.science/tel-00353660/" TargetMode="External"/><Relationship Id="rId187" Type="http://schemas.openxmlformats.org/officeDocument/2006/relationships/hyperlink" Target="https://theses.hal.science/tel-00353660/" TargetMode="External"/><Relationship Id="rId331" Type="http://schemas.openxmlformats.org/officeDocument/2006/relationships/hyperlink" Target="https://theses.hal.science/tel-00353660/" TargetMode="External"/><Relationship Id="rId352" Type="http://schemas.openxmlformats.org/officeDocument/2006/relationships/hyperlink" Target="https://theses.hal.science/tel-00353660/" TargetMode="External"/><Relationship Id="rId373" Type="http://schemas.openxmlformats.org/officeDocument/2006/relationships/hyperlink" Target="https://sonel.univ-lr.fr/IMG/pdf/caldwell_2012unesco.pdf" TargetMode="External"/><Relationship Id="rId394" Type="http://schemas.openxmlformats.org/officeDocument/2006/relationships/hyperlink" Target="https://sonel.univ-lr.fr/IMG/pdf/caldwell_2012unesco.pdf" TargetMode="External"/><Relationship Id="rId408" Type="http://schemas.openxmlformats.org/officeDocument/2006/relationships/hyperlink" Target="https://sonel.univ-lr.fr/IMG/pdf/caldwell_2012unesco.pdf" TargetMode="External"/><Relationship Id="rId1" Type="http://schemas.openxmlformats.org/officeDocument/2006/relationships/hyperlink" Target="https://www.jstor.org/stable/4496116?seq=3" TargetMode="External"/><Relationship Id="rId212" Type="http://schemas.openxmlformats.org/officeDocument/2006/relationships/hyperlink" Target="https://theses.hal.science/tel-00353660/" TargetMode="External"/><Relationship Id="rId233" Type="http://schemas.openxmlformats.org/officeDocument/2006/relationships/hyperlink" Target="https://theses.hal.science/tel-00353660/" TargetMode="External"/><Relationship Id="rId254" Type="http://schemas.openxmlformats.org/officeDocument/2006/relationships/hyperlink" Target="https://theses.hal.science/tel-00353660/" TargetMode="External"/><Relationship Id="rId2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49" Type="http://schemas.openxmlformats.org/officeDocument/2006/relationships/hyperlink" Target="https://theses.hal.science/tel-00353660/" TargetMode="External"/><Relationship Id="rId114" Type="http://schemas.openxmlformats.org/officeDocument/2006/relationships/hyperlink" Target="https://theses.hal.science/tel-00353660/" TargetMode="External"/><Relationship Id="rId275" Type="http://schemas.openxmlformats.org/officeDocument/2006/relationships/hyperlink" Target="https://theses.hal.science/tel-00353660/" TargetMode="External"/><Relationship Id="rId296" Type="http://schemas.openxmlformats.org/officeDocument/2006/relationships/hyperlink" Target="https://theses.hal.science/tel-00353660/" TargetMode="External"/><Relationship Id="rId300" Type="http://schemas.openxmlformats.org/officeDocument/2006/relationships/hyperlink" Target="https://theses.hal.science/tel-00353660/" TargetMode="External"/><Relationship Id="rId60" Type="http://schemas.openxmlformats.org/officeDocument/2006/relationships/hyperlink" Target="https://theses.hal.science/tel-00353660/" TargetMode="External"/><Relationship Id="rId81" Type="http://schemas.openxmlformats.org/officeDocument/2006/relationships/hyperlink" Target="https://theses.hal.science/tel-00353660/" TargetMode="External"/><Relationship Id="rId135" Type="http://schemas.openxmlformats.org/officeDocument/2006/relationships/hyperlink" Target="https://theses.hal.science/tel-00353660/" TargetMode="External"/><Relationship Id="rId156" Type="http://schemas.openxmlformats.org/officeDocument/2006/relationships/hyperlink" Target="https://theses.hal.science/tel-00353660/" TargetMode="External"/><Relationship Id="rId177" Type="http://schemas.openxmlformats.org/officeDocument/2006/relationships/hyperlink" Target="https://theses.hal.science/tel-00353660/" TargetMode="External"/><Relationship Id="rId198" Type="http://schemas.openxmlformats.org/officeDocument/2006/relationships/hyperlink" Target="https://theses.hal.science/tel-00353660/" TargetMode="External"/><Relationship Id="rId321" Type="http://schemas.openxmlformats.org/officeDocument/2006/relationships/hyperlink" Target="https://theses.hal.science/tel-00353660/" TargetMode="External"/><Relationship Id="rId342" Type="http://schemas.openxmlformats.org/officeDocument/2006/relationships/hyperlink" Target="https://theses.hal.science/tel-00353660/" TargetMode="External"/><Relationship Id="rId363" Type="http://schemas.openxmlformats.org/officeDocument/2006/relationships/hyperlink" Target="https://theses.hal.science/tel-00353660/" TargetMode="External"/><Relationship Id="rId384" Type="http://schemas.openxmlformats.org/officeDocument/2006/relationships/hyperlink" Target="https://sonel.univ-lr.fr/IMG/pdf/caldwell_2012unesco.pdf" TargetMode="External"/><Relationship Id="rId202" Type="http://schemas.openxmlformats.org/officeDocument/2006/relationships/hyperlink" Target="https://theses.hal.science/tel-00353660/" TargetMode="External"/><Relationship Id="rId223" Type="http://schemas.openxmlformats.org/officeDocument/2006/relationships/hyperlink" Target="https://theses.hal.science/tel-00353660/" TargetMode="External"/><Relationship Id="rId244" Type="http://schemas.openxmlformats.org/officeDocument/2006/relationships/hyperlink" Target="https://theses.hal.science/tel-00353660/" TargetMode="External"/><Relationship Id="rId1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39" Type="http://schemas.openxmlformats.org/officeDocument/2006/relationships/hyperlink" Target="https://theses.hal.science/tel-00353660/" TargetMode="External"/><Relationship Id="rId265" Type="http://schemas.openxmlformats.org/officeDocument/2006/relationships/hyperlink" Target="https://theses.hal.science/tel-00353660/" TargetMode="External"/><Relationship Id="rId286" Type="http://schemas.openxmlformats.org/officeDocument/2006/relationships/hyperlink" Target="https://theses.hal.science/tel-00353660/" TargetMode="External"/><Relationship Id="rId50" Type="http://schemas.openxmlformats.org/officeDocument/2006/relationships/hyperlink" Target="https://theses.hal.science/tel-00353660/" TargetMode="External"/><Relationship Id="rId104" Type="http://schemas.openxmlformats.org/officeDocument/2006/relationships/hyperlink" Target="https://theses.hal.science/tel-00353660/" TargetMode="External"/><Relationship Id="rId125" Type="http://schemas.openxmlformats.org/officeDocument/2006/relationships/hyperlink" Target="https://theses.hal.science/tel-00353660/" TargetMode="External"/><Relationship Id="rId146" Type="http://schemas.openxmlformats.org/officeDocument/2006/relationships/hyperlink" Target="https://theses.hal.science/tel-00353660/" TargetMode="External"/><Relationship Id="rId167" Type="http://schemas.openxmlformats.org/officeDocument/2006/relationships/hyperlink" Target="https://theses.hal.science/tel-00353660/" TargetMode="External"/><Relationship Id="rId188" Type="http://schemas.openxmlformats.org/officeDocument/2006/relationships/hyperlink" Target="https://theses.hal.science/tel-00353660/" TargetMode="External"/><Relationship Id="rId311" Type="http://schemas.openxmlformats.org/officeDocument/2006/relationships/hyperlink" Target="https://theses.hal.science/tel-00353660/" TargetMode="External"/><Relationship Id="rId332" Type="http://schemas.openxmlformats.org/officeDocument/2006/relationships/hyperlink" Target="https://theses.hal.science/tel-00353660/" TargetMode="External"/><Relationship Id="rId353" Type="http://schemas.openxmlformats.org/officeDocument/2006/relationships/hyperlink" Target="https://theses.hal.science/tel-00353660/" TargetMode="External"/><Relationship Id="rId374" Type="http://schemas.openxmlformats.org/officeDocument/2006/relationships/hyperlink" Target="https://sonel.univ-lr.fr/IMG/pdf/caldwell_2012unesco.pdf" TargetMode="External"/><Relationship Id="rId395" Type="http://schemas.openxmlformats.org/officeDocument/2006/relationships/hyperlink" Target="https://sonel.univ-lr.fr/IMG/pdf/caldwell_2012unesco.pdf" TargetMode="External"/><Relationship Id="rId409" Type="http://schemas.openxmlformats.org/officeDocument/2006/relationships/hyperlink" Target="https://sonel.univ-lr.fr/IMG/pdf/caldwell_2012unesco.pdf" TargetMode="External"/><Relationship Id="rId71" Type="http://schemas.openxmlformats.org/officeDocument/2006/relationships/hyperlink" Target="https://theses.hal.science/tel-00353660/" TargetMode="External"/><Relationship Id="rId92" Type="http://schemas.openxmlformats.org/officeDocument/2006/relationships/hyperlink" Target="https://theses.hal.science/tel-00353660/" TargetMode="External"/><Relationship Id="rId213" Type="http://schemas.openxmlformats.org/officeDocument/2006/relationships/hyperlink" Target="https://theses.hal.science/tel-00353660/" TargetMode="External"/><Relationship Id="rId234" Type="http://schemas.openxmlformats.org/officeDocument/2006/relationships/hyperlink" Target="https://theses.hal.science/tel-00353660/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29" Type="http://schemas.openxmlformats.org/officeDocument/2006/relationships/hyperlink" Target="https://theses.hal.science/tel-00353660/" TargetMode="External"/><Relationship Id="rId255" Type="http://schemas.openxmlformats.org/officeDocument/2006/relationships/hyperlink" Target="https://theses.hal.science/tel-00353660/" TargetMode="External"/><Relationship Id="rId276" Type="http://schemas.openxmlformats.org/officeDocument/2006/relationships/hyperlink" Target="https://theses.hal.science/tel-00353660/" TargetMode="External"/><Relationship Id="rId297" Type="http://schemas.openxmlformats.org/officeDocument/2006/relationships/hyperlink" Target="https://theses.hal.science/tel-00353660/" TargetMode="External"/><Relationship Id="rId40" Type="http://schemas.openxmlformats.org/officeDocument/2006/relationships/hyperlink" Target="https://theses.hal.science/tel-00353660/" TargetMode="External"/><Relationship Id="rId115" Type="http://schemas.openxmlformats.org/officeDocument/2006/relationships/hyperlink" Target="https://theses.hal.science/tel-00353660/" TargetMode="External"/><Relationship Id="rId136" Type="http://schemas.openxmlformats.org/officeDocument/2006/relationships/hyperlink" Target="https://theses.hal.science/tel-00353660/" TargetMode="External"/><Relationship Id="rId157" Type="http://schemas.openxmlformats.org/officeDocument/2006/relationships/hyperlink" Target="https://theses.hal.science/tel-00353660/" TargetMode="External"/><Relationship Id="rId178" Type="http://schemas.openxmlformats.org/officeDocument/2006/relationships/hyperlink" Target="https://theses.hal.science/tel-00353660/" TargetMode="External"/><Relationship Id="rId301" Type="http://schemas.openxmlformats.org/officeDocument/2006/relationships/hyperlink" Target="https://theses.hal.science/tel-00353660/" TargetMode="External"/><Relationship Id="rId322" Type="http://schemas.openxmlformats.org/officeDocument/2006/relationships/hyperlink" Target="https://theses.hal.science/tel-00353660/" TargetMode="External"/><Relationship Id="rId343" Type="http://schemas.openxmlformats.org/officeDocument/2006/relationships/hyperlink" Target="https://theses.hal.science/tel-00353660/" TargetMode="External"/><Relationship Id="rId364" Type="http://schemas.openxmlformats.org/officeDocument/2006/relationships/hyperlink" Target="https://theses.hal.science/tel-00353660/" TargetMode="External"/><Relationship Id="rId61" Type="http://schemas.openxmlformats.org/officeDocument/2006/relationships/hyperlink" Target="https://theses.hal.science/tel-00353660/" TargetMode="External"/><Relationship Id="rId82" Type="http://schemas.openxmlformats.org/officeDocument/2006/relationships/hyperlink" Target="https://theses.hal.science/tel-00353660/" TargetMode="External"/><Relationship Id="rId199" Type="http://schemas.openxmlformats.org/officeDocument/2006/relationships/hyperlink" Target="https://theses.hal.science/tel-00353660/" TargetMode="External"/><Relationship Id="rId203" Type="http://schemas.openxmlformats.org/officeDocument/2006/relationships/hyperlink" Target="https://theses.hal.science/tel-00353660/" TargetMode="External"/><Relationship Id="rId385" Type="http://schemas.openxmlformats.org/officeDocument/2006/relationships/hyperlink" Target="https://sonel.univ-lr.fr/IMG/pdf/caldwell_2012unesco.pdf" TargetMode="External"/><Relationship Id="rId19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24" Type="http://schemas.openxmlformats.org/officeDocument/2006/relationships/hyperlink" Target="https://theses.hal.science/tel-00353660/" TargetMode="External"/><Relationship Id="rId245" Type="http://schemas.openxmlformats.org/officeDocument/2006/relationships/hyperlink" Target="https://theses.hal.science/tel-00353660/" TargetMode="External"/><Relationship Id="rId266" Type="http://schemas.openxmlformats.org/officeDocument/2006/relationships/hyperlink" Target="https://theses.hal.science/tel-00353660/" TargetMode="External"/><Relationship Id="rId287" Type="http://schemas.openxmlformats.org/officeDocument/2006/relationships/hyperlink" Target="https://theses.hal.science/tel-00353660/" TargetMode="External"/><Relationship Id="rId410" Type="http://schemas.openxmlformats.org/officeDocument/2006/relationships/hyperlink" Target="https://sonel.univ-lr.fr/IMG/pdf/caldwell_2012unesco.pdf" TargetMode="External"/><Relationship Id="rId30" Type="http://schemas.openxmlformats.org/officeDocument/2006/relationships/hyperlink" Target="https://theses.hal.science/tel-00353660/" TargetMode="External"/><Relationship Id="rId105" Type="http://schemas.openxmlformats.org/officeDocument/2006/relationships/hyperlink" Target="https://theses.hal.science/tel-00353660/" TargetMode="External"/><Relationship Id="rId126" Type="http://schemas.openxmlformats.org/officeDocument/2006/relationships/hyperlink" Target="https://theses.hal.science/tel-00353660/" TargetMode="External"/><Relationship Id="rId147" Type="http://schemas.openxmlformats.org/officeDocument/2006/relationships/hyperlink" Target="https://theses.hal.science/tel-00353660/" TargetMode="External"/><Relationship Id="rId168" Type="http://schemas.openxmlformats.org/officeDocument/2006/relationships/hyperlink" Target="https://theses.hal.science/tel-00353660/" TargetMode="External"/><Relationship Id="rId312" Type="http://schemas.openxmlformats.org/officeDocument/2006/relationships/hyperlink" Target="https://theses.hal.science/tel-00353660/" TargetMode="External"/><Relationship Id="rId333" Type="http://schemas.openxmlformats.org/officeDocument/2006/relationships/hyperlink" Target="https://theses.hal.science/tel-00353660/" TargetMode="External"/><Relationship Id="rId354" Type="http://schemas.openxmlformats.org/officeDocument/2006/relationships/hyperlink" Target="https://theses.hal.science/tel-00353660/" TargetMode="External"/><Relationship Id="rId51" Type="http://schemas.openxmlformats.org/officeDocument/2006/relationships/hyperlink" Target="https://theses.hal.science/tel-00353660/" TargetMode="External"/><Relationship Id="rId72" Type="http://schemas.openxmlformats.org/officeDocument/2006/relationships/hyperlink" Target="https://theses.hal.science/tel-00353660/" TargetMode="External"/><Relationship Id="rId93" Type="http://schemas.openxmlformats.org/officeDocument/2006/relationships/hyperlink" Target="https://theses.hal.science/tel-00353660/" TargetMode="External"/><Relationship Id="rId189" Type="http://schemas.openxmlformats.org/officeDocument/2006/relationships/hyperlink" Target="https://theses.hal.science/tel-00353660/" TargetMode="External"/><Relationship Id="rId375" Type="http://schemas.openxmlformats.org/officeDocument/2006/relationships/hyperlink" Target="https://sonel.univ-lr.fr/IMG/pdf/caldwell_2012unesco.pdf" TargetMode="External"/><Relationship Id="rId396" Type="http://schemas.openxmlformats.org/officeDocument/2006/relationships/hyperlink" Target="https://sonel.univ-lr.fr/IMG/pdf/caldwell_2012unesco.pdf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4" Type="http://schemas.openxmlformats.org/officeDocument/2006/relationships/hyperlink" Target="https://theses.hal.science/tel-00353660/" TargetMode="External"/><Relationship Id="rId235" Type="http://schemas.openxmlformats.org/officeDocument/2006/relationships/hyperlink" Target="https://theses.hal.science/tel-00353660/" TargetMode="External"/><Relationship Id="rId256" Type="http://schemas.openxmlformats.org/officeDocument/2006/relationships/hyperlink" Target="https://theses.hal.science/tel-00353660/" TargetMode="External"/><Relationship Id="rId277" Type="http://schemas.openxmlformats.org/officeDocument/2006/relationships/hyperlink" Target="https://theses.hal.science/tel-00353660/" TargetMode="External"/><Relationship Id="rId298" Type="http://schemas.openxmlformats.org/officeDocument/2006/relationships/hyperlink" Target="https://theses.hal.science/tel-00353660/" TargetMode="External"/><Relationship Id="rId400" Type="http://schemas.openxmlformats.org/officeDocument/2006/relationships/hyperlink" Target="https://sonel.univ-lr.fr/IMG/pdf/caldwell_2012unesco.pdf" TargetMode="External"/><Relationship Id="rId116" Type="http://schemas.openxmlformats.org/officeDocument/2006/relationships/hyperlink" Target="https://theses.hal.science/tel-00353660/" TargetMode="External"/><Relationship Id="rId137" Type="http://schemas.openxmlformats.org/officeDocument/2006/relationships/hyperlink" Target="https://theses.hal.science/tel-00353660/" TargetMode="External"/><Relationship Id="rId158" Type="http://schemas.openxmlformats.org/officeDocument/2006/relationships/hyperlink" Target="https://theses.hal.science/tel-00353660/" TargetMode="External"/><Relationship Id="rId302" Type="http://schemas.openxmlformats.org/officeDocument/2006/relationships/hyperlink" Target="https://theses.hal.science/tel-00353660/" TargetMode="External"/><Relationship Id="rId323" Type="http://schemas.openxmlformats.org/officeDocument/2006/relationships/hyperlink" Target="https://theses.hal.science/tel-00353660/" TargetMode="External"/><Relationship Id="rId344" Type="http://schemas.openxmlformats.org/officeDocument/2006/relationships/hyperlink" Target="https://theses.hal.science/tel-00353660/" TargetMode="External"/><Relationship Id="rId20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41" Type="http://schemas.openxmlformats.org/officeDocument/2006/relationships/hyperlink" Target="https://theses.hal.science/tel-00353660/" TargetMode="External"/><Relationship Id="rId62" Type="http://schemas.openxmlformats.org/officeDocument/2006/relationships/hyperlink" Target="https://theses.hal.science/tel-00353660/" TargetMode="External"/><Relationship Id="rId83" Type="http://schemas.openxmlformats.org/officeDocument/2006/relationships/hyperlink" Target="https://theses.hal.science/tel-00353660/" TargetMode="External"/><Relationship Id="rId179" Type="http://schemas.openxmlformats.org/officeDocument/2006/relationships/hyperlink" Target="https://theses.hal.science/tel-00353660/" TargetMode="External"/><Relationship Id="rId365" Type="http://schemas.openxmlformats.org/officeDocument/2006/relationships/hyperlink" Target="https://theses.hal.science/tel-00353660/" TargetMode="External"/><Relationship Id="rId386" Type="http://schemas.openxmlformats.org/officeDocument/2006/relationships/hyperlink" Target="https://sonel.univ-lr.fr/IMG/pdf/caldwell_2012unesco.pdf" TargetMode="External"/><Relationship Id="rId190" Type="http://schemas.openxmlformats.org/officeDocument/2006/relationships/hyperlink" Target="https://theses.hal.science/tel-00353660/" TargetMode="External"/><Relationship Id="rId204" Type="http://schemas.openxmlformats.org/officeDocument/2006/relationships/hyperlink" Target="https://theses.hal.science/tel-00353660/" TargetMode="External"/><Relationship Id="rId225" Type="http://schemas.openxmlformats.org/officeDocument/2006/relationships/hyperlink" Target="https://theses.hal.science/tel-00353660/" TargetMode="External"/><Relationship Id="rId246" Type="http://schemas.openxmlformats.org/officeDocument/2006/relationships/hyperlink" Target="https://theses.hal.science/tel-00353660/" TargetMode="External"/><Relationship Id="rId267" Type="http://schemas.openxmlformats.org/officeDocument/2006/relationships/hyperlink" Target="https://theses.hal.science/tel-00353660/" TargetMode="External"/><Relationship Id="rId288" Type="http://schemas.openxmlformats.org/officeDocument/2006/relationships/hyperlink" Target="https://theses.hal.science/tel-00353660/" TargetMode="External"/><Relationship Id="rId411" Type="http://schemas.openxmlformats.org/officeDocument/2006/relationships/hyperlink" Target="https://sonel.univ-lr.fr/IMG/pdf/caldwell_2012unesco.pdf" TargetMode="External"/><Relationship Id="rId106" Type="http://schemas.openxmlformats.org/officeDocument/2006/relationships/hyperlink" Target="https://theses.hal.science/tel-00353660/" TargetMode="External"/><Relationship Id="rId127" Type="http://schemas.openxmlformats.org/officeDocument/2006/relationships/hyperlink" Target="https://theses.hal.science/tel-00353660/" TargetMode="External"/><Relationship Id="rId313" Type="http://schemas.openxmlformats.org/officeDocument/2006/relationships/hyperlink" Target="https://theses.hal.science/tel-00353660/" TargetMode="External"/><Relationship Id="rId10" Type="http://schemas.openxmlformats.org/officeDocument/2006/relationships/hyperlink" Target="https://www.sciencedirect.com/science/article/pii/S0278434306003888" TargetMode="External"/><Relationship Id="rId31" Type="http://schemas.openxmlformats.org/officeDocument/2006/relationships/hyperlink" Target="https://theses.hal.science/tel-00353660/" TargetMode="External"/><Relationship Id="rId52" Type="http://schemas.openxmlformats.org/officeDocument/2006/relationships/hyperlink" Target="https://theses.hal.science/tel-00353660/" TargetMode="External"/><Relationship Id="rId73" Type="http://schemas.openxmlformats.org/officeDocument/2006/relationships/hyperlink" Target="https://theses.hal.science/tel-00353660/" TargetMode="External"/><Relationship Id="rId94" Type="http://schemas.openxmlformats.org/officeDocument/2006/relationships/hyperlink" Target="https://theses.hal.science/tel-00353660/" TargetMode="External"/><Relationship Id="rId148" Type="http://schemas.openxmlformats.org/officeDocument/2006/relationships/hyperlink" Target="https://theses.hal.science/tel-00353660/" TargetMode="External"/><Relationship Id="rId169" Type="http://schemas.openxmlformats.org/officeDocument/2006/relationships/hyperlink" Target="https://theses.hal.science/tel-00353660/" TargetMode="External"/><Relationship Id="rId334" Type="http://schemas.openxmlformats.org/officeDocument/2006/relationships/hyperlink" Target="https://theses.hal.science/tel-00353660/" TargetMode="External"/><Relationship Id="rId355" Type="http://schemas.openxmlformats.org/officeDocument/2006/relationships/hyperlink" Target="https://theses.hal.science/tel-00353660/" TargetMode="External"/><Relationship Id="rId376" Type="http://schemas.openxmlformats.org/officeDocument/2006/relationships/hyperlink" Target="https://sonel.univ-lr.fr/IMG/pdf/caldwell_2012unesco.pdf" TargetMode="External"/><Relationship Id="rId397" Type="http://schemas.openxmlformats.org/officeDocument/2006/relationships/hyperlink" Target="https://sonel.univ-lr.fr/IMG/pdf/caldwell_2012unesco.pdf" TargetMode="External"/><Relationship Id="rId4" Type="http://schemas.openxmlformats.org/officeDocument/2006/relationships/hyperlink" Target="https://agupubs.onlinelibrary.wiley.com/doi/full/10.1029/2020JC016328" TargetMode="External"/><Relationship Id="rId180" Type="http://schemas.openxmlformats.org/officeDocument/2006/relationships/hyperlink" Target="https://theses.hal.science/tel-00353660/" TargetMode="External"/><Relationship Id="rId215" Type="http://schemas.openxmlformats.org/officeDocument/2006/relationships/hyperlink" Target="https://theses.hal.science/tel-00353660/" TargetMode="External"/><Relationship Id="rId236" Type="http://schemas.openxmlformats.org/officeDocument/2006/relationships/hyperlink" Target="https://theses.hal.science/tel-00353660/" TargetMode="External"/><Relationship Id="rId257" Type="http://schemas.openxmlformats.org/officeDocument/2006/relationships/hyperlink" Target="https://theses.hal.science/tel-00353660/" TargetMode="External"/><Relationship Id="rId278" Type="http://schemas.openxmlformats.org/officeDocument/2006/relationships/hyperlink" Target="https://theses.hal.science/tel-00353660/" TargetMode="External"/><Relationship Id="rId401" Type="http://schemas.openxmlformats.org/officeDocument/2006/relationships/hyperlink" Target="https://sonel.univ-lr.fr/IMG/pdf/caldwell_2012unesco.pdf" TargetMode="External"/><Relationship Id="rId303" Type="http://schemas.openxmlformats.org/officeDocument/2006/relationships/hyperlink" Target="https://theses.hal.science/tel-00353660/" TargetMode="External"/><Relationship Id="rId42" Type="http://schemas.openxmlformats.org/officeDocument/2006/relationships/hyperlink" Target="https://theses.hal.science/tel-00353660/" TargetMode="External"/><Relationship Id="rId84" Type="http://schemas.openxmlformats.org/officeDocument/2006/relationships/hyperlink" Target="https://theses.hal.science/tel-00353660/" TargetMode="External"/><Relationship Id="rId138" Type="http://schemas.openxmlformats.org/officeDocument/2006/relationships/hyperlink" Target="https://theses.hal.science/tel-00353660/" TargetMode="External"/><Relationship Id="rId345" Type="http://schemas.openxmlformats.org/officeDocument/2006/relationships/hyperlink" Target="https://theses.hal.science/tel-00353660/" TargetMode="External"/><Relationship Id="rId387" Type="http://schemas.openxmlformats.org/officeDocument/2006/relationships/hyperlink" Target="https://sonel.univ-lr.fr/IMG/pdf/caldwell_2012unesco.pdf" TargetMode="External"/><Relationship Id="rId191" Type="http://schemas.openxmlformats.org/officeDocument/2006/relationships/hyperlink" Target="https://theses.hal.science/tel-00353660/" TargetMode="External"/><Relationship Id="rId205" Type="http://schemas.openxmlformats.org/officeDocument/2006/relationships/hyperlink" Target="https://theses.hal.science/tel-00353660/" TargetMode="External"/><Relationship Id="rId247" Type="http://schemas.openxmlformats.org/officeDocument/2006/relationships/hyperlink" Target="https://theses.hal.science/tel-00353660/" TargetMode="External"/><Relationship Id="rId412" Type="http://schemas.openxmlformats.org/officeDocument/2006/relationships/hyperlink" Target="https://sonel.univ-lr.fr/IMG/pdf/caldwell_2012unesco.pdf" TargetMode="External"/><Relationship Id="rId107" Type="http://schemas.openxmlformats.org/officeDocument/2006/relationships/hyperlink" Target="https://theses.hal.science/tel-00353660/" TargetMode="External"/><Relationship Id="rId289" Type="http://schemas.openxmlformats.org/officeDocument/2006/relationships/hyperlink" Target="https://theses.hal.science/tel-00353660/" TargetMode="External"/><Relationship Id="rId11" Type="http://schemas.openxmlformats.org/officeDocument/2006/relationships/hyperlink" Target="https://www.scirp.org/pdf/jwarp_2023101914441059.pdf" TargetMode="External"/><Relationship Id="rId53" Type="http://schemas.openxmlformats.org/officeDocument/2006/relationships/hyperlink" Target="https://theses.hal.science/tel-00353660/" TargetMode="External"/><Relationship Id="rId149" Type="http://schemas.openxmlformats.org/officeDocument/2006/relationships/hyperlink" Target="https://theses.hal.science/tel-00353660/" TargetMode="External"/><Relationship Id="rId314" Type="http://schemas.openxmlformats.org/officeDocument/2006/relationships/hyperlink" Target="https://theses.hal.science/tel-00353660/" TargetMode="External"/><Relationship Id="rId356" Type="http://schemas.openxmlformats.org/officeDocument/2006/relationships/hyperlink" Target="https://theses.hal.science/tel-00353660/" TargetMode="External"/><Relationship Id="rId398" Type="http://schemas.openxmlformats.org/officeDocument/2006/relationships/hyperlink" Target="https://sonel.univ-lr.fr/IMG/pdf/caldwell_2012unesco.pdf" TargetMode="External"/><Relationship Id="rId95" Type="http://schemas.openxmlformats.org/officeDocument/2006/relationships/hyperlink" Target="https://theses.hal.science/tel-00353660/" TargetMode="External"/><Relationship Id="rId160" Type="http://schemas.openxmlformats.org/officeDocument/2006/relationships/hyperlink" Target="https://theses.hal.science/tel-00353660/" TargetMode="External"/><Relationship Id="rId216" Type="http://schemas.openxmlformats.org/officeDocument/2006/relationships/hyperlink" Target="https://theses.hal.science/tel-00353660/" TargetMode="External"/><Relationship Id="rId258" Type="http://schemas.openxmlformats.org/officeDocument/2006/relationships/hyperlink" Target="https://theses.hal.science/tel-00353660/" TargetMode="External"/><Relationship Id="rId2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4" Type="http://schemas.openxmlformats.org/officeDocument/2006/relationships/hyperlink" Target="https://theses.hal.science/tel-00353660/" TargetMode="External"/><Relationship Id="rId118" Type="http://schemas.openxmlformats.org/officeDocument/2006/relationships/hyperlink" Target="https://theses.hal.science/tel-00353660/" TargetMode="External"/><Relationship Id="rId325" Type="http://schemas.openxmlformats.org/officeDocument/2006/relationships/hyperlink" Target="https://theses.hal.science/tel-00353660/" TargetMode="External"/><Relationship Id="rId367" Type="http://schemas.openxmlformats.org/officeDocument/2006/relationships/hyperlink" Target="https://theses.hal.science/tel-00353660/" TargetMode="External"/><Relationship Id="rId171" Type="http://schemas.openxmlformats.org/officeDocument/2006/relationships/hyperlink" Target="https://theses.hal.science/tel-00353660/" TargetMode="External"/><Relationship Id="rId227" Type="http://schemas.openxmlformats.org/officeDocument/2006/relationships/hyperlink" Target="https://theses.hal.science/tel-00353660/" TargetMode="External"/><Relationship Id="rId269" Type="http://schemas.openxmlformats.org/officeDocument/2006/relationships/hyperlink" Target="https://theses.hal.science/tel-00353660/" TargetMode="External"/><Relationship Id="rId33" Type="http://schemas.openxmlformats.org/officeDocument/2006/relationships/hyperlink" Target="https://theses.hal.science/tel-00353660/" TargetMode="External"/><Relationship Id="rId129" Type="http://schemas.openxmlformats.org/officeDocument/2006/relationships/hyperlink" Target="https://theses.hal.science/tel-00353660/" TargetMode="External"/><Relationship Id="rId280" Type="http://schemas.openxmlformats.org/officeDocument/2006/relationships/hyperlink" Target="https://theses.hal.science/tel-00353660/" TargetMode="External"/><Relationship Id="rId336" Type="http://schemas.openxmlformats.org/officeDocument/2006/relationships/hyperlink" Target="https://theses.hal.science/tel-00353660/" TargetMode="External"/><Relationship Id="rId75" Type="http://schemas.openxmlformats.org/officeDocument/2006/relationships/hyperlink" Target="https://theses.hal.science/tel-00353660/" TargetMode="External"/><Relationship Id="rId140" Type="http://schemas.openxmlformats.org/officeDocument/2006/relationships/hyperlink" Target="https://theses.hal.science/tel-00353660/" TargetMode="External"/><Relationship Id="rId182" Type="http://schemas.openxmlformats.org/officeDocument/2006/relationships/hyperlink" Target="https://theses.hal.science/tel-00353660/" TargetMode="External"/><Relationship Id="rId378" Type="http://schemas.openxmlformats.org/officeDocument/2006/relationships/hyperlink" Target="https://sonel.univ-lr.fr/IMG/pdf/caldwell_2012unesco.pdf" TargetMode="External"/><Relationship Id="rId403" Type="http://schemas.openxmlformats.org/officeDocument/2006/relationships/hyperlink" Target="https://sonel.univ-lr.fr/IMG/pdf/caldwell_2012unesco.pdf" TargetMode="External"/><Relationship Id="rId6" Type="http://schemas.openxmlformats.org/officeDocument/2006/relationships/hyperlink" Target="https://pdxscholar.library.pdx.edu/cgi/viewcontent.cgi?article=1426&amp;context=cengin_fac" TargetMode="External"/><Relationship Id="rId238" Type="http://schemas.openxmlformats.org/officeDocument/2006/relationships/hyperlink" Target="https://theses.hal.science/tel-00353660/" TargetMode="External"/><Relationship Id="rId291" Type="http://schemas.openxmlformats.org/officeDocument/2006/relationships/hyperlink" Target="https://theses.hal.science/tel-00353660/" TargetMode="External"/><Relationship Id="rId305" Type="http://schemas.openxmlformats.org/officeDocument/2006/relationships/hyperlink" Target="https://theses.hal.science/tel-00353660/" TargetMode="External"/><Relationship Id="rId347" Type="http://schemas.openxmlformats.org/officeDocument/2006/relationships/hyperlink" Target="https://theses.hal.science/tel-00353660/" TargetMode="External"/><Relationship Id="rId44" Type="http://schemas.openxmlformats.org/officeDocument/2006/relationships/hyperlink" Target="https://theses.hal.science/tel-00353660/" TargetMode="External"/><Relationship Id="rId86" Type="http://schemas.openxmlformats.org/officeDocument/2006/relationships/hyperlink" Target="https://theses.hal.science/tel-00353660/" TargetMode="External"/><Relationship Id="rId151" Type="http://schemas.openxmlformats.org/officeDocument/2006/relationships/hyperlink" Target="https://theses.hal.science/tel-00353660/" TargetMode="External"/><Relationship Id="rId389" Type="http://schemas.openxmlformats.org/officeDocument/2006/relationships/hyperlink" Target="https://sonel.univ-lr.fr/IMG/pdf/caldwell_2012unesco.pdf" TargetMode="External"/><Relationship Id="rId193" Type="http://schemas.openxmlformats.org/officeDocument/2006/relationships/hyperlink" Target="https://theses.hal.science/tel-00353660/" TargetMode="External"/><Relationship Id="rId207" Type="http://schemas.openxmlformats.org/officeDocument/2006/relationships/hyperlink" Target="https://theses.hal.science/tel-00353660/" TargetMode="External"/><Relationship Id="rId249" Type="http://schemas.openxmlformats.org/officeDocument/2006/relationships/hyperlink" Target="https://theses.hal.science/tel-00353660/" TargetMode="External"/><Relationship Id="rId414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09" Type="http://schemas.openxmlformats.org/officeDocument/2006/relationships/hyperlink" Target="https://theses.hal.science/tel-00353660/" TargetMode="External"/><Relationship Id="rId260" Type="http://schemas.openxmlformats.org/officeDocument/2006/relationships/hyperlink" Target="https://theses.hal.science/tel-00353660/" TargetMode="External"/><Relationship Id="rId316" Type="http://schemas.openxmlformats.org/officeDocument/2006/relationships/hyperlink" Target="https://theses.hal.science/tel-00353660/" TargetMode="External"/><Relationship Id="rId55" Type="http://schemas.openxmlformats.org/officeDocument/2006/relationships/hyperlink" Target="https://theses.hal.science/tel-00353660/" TargetMode="External"/><Relationship Id="rId97" Type="http://schemas.openxmlformats.org/officeDocument/2006/relationships/hyperlink" Target="https://theses.hal.science/tel-00353660/" TargetMode="External"/><Relationship Id="rId120" Type="http://schemas.openxmlformats.org/officeDocument/2006/relationships/hyperlink" Target="https://theses.hal.science/tel-00353660/" TargetMode="External"/><Relationship Id="rId358" Type="http://schemas.openxmlformats.org/officeDocument/2006/relationships/hyperlink" Target="https://theses.hal.science/tel-00353660/" TargetMode="External"/><Relationship Id="rId162" Type="http://schemas.openxmlformats.org/officeDocument/2006/relationships/hyperlink" Target="https://theses.hal.science/tel-00353660/" TargetMode="External"/><Relationship Id="rId218" Type="http://schemas.openxmlformats.org/officeDocument/2006/relationships/hyperlink" Target="https://theses.hal.science/tel-00353660/" TargetMode="External"/><Relationship Id="rId271" Type="http://schemas.openxmlformats.org/officeDocument/2006/relationships/hyperlink" Target="https://theses.hal.science/tel-00353660/" TargetMode="External"/><Relationship Id="rId2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6" Type="http://schemas.openxmlformats.org/officeDocument/2006/relationships/hyperlink" Target="https://theses.hal.science/tel-00353660/" TargetMode="External"/><Relationship Id="rId131" Type="http://schemas.openxmlformats.org/officeDocument/2006/relationships/hyperlink" Target="https://theses.hal.science/tel-00353660/" TargetMode="External"/><Relationship Id="rId327" Type="http://schemas.openxmlformats.org/officeDocument/2006/relationships/hyperlink" Target="https://theses.hal.science/tel-00353660/" TargetMode="External"/><Relationship Id="rId369" Type="http://schemas.openxmlformats.org/officeDocument/2006/relationships/hyperlink" Target="https://theses.hal.science/tel-00353660/" TargetMode="External"/><Relationship Id="rId173" Type="http://schemas.openxmlformats.org/officeDocument/2006/relationships/hyperlink" Target="https://theses.hal.science/tel-00353660/" TargetMode="External"/><Relationship Id="rId229" Type="http://schemas.openxmlformats.org/officeDocument/2006/relationships/hyperlink" Target="https://theses.hal.science/tel-00353660/" TargetMode="External"/><Relationship Id="rId380" Type="http://schemas.openxmlformats.org/officeDocument/2006/relationships/hyperlink" Target="https://sonel.univ-lr.fr/IMG/pdf/caldwell_2012unesco.pdf" TargetMode="External"/><Relationship Id="rId240" Type="http://schemas.openxmlformats.org/officeDocument/2006/relationships/hyperlink" Target="https://theses.hal.science/tel-00353660/" TargetMode="External"/><Relationship Id="rId35" Type="http://schemas.openxmlformats.org/officeDocument/2006/relationships/hyperlink" Target="https://theses.hal.science/tel-00353660/" TargetMode="External"/><Relationship Id="rId77" Type="http://schemas.openxmlformats.org/officeDocument/2006/relationships/hyperlink" Target="https://theses.hal.science/tel-00353660/" TargetMode="External"/><Relationship Id="rId100" Type="http://schemas.openxmlformats.org/officeDocument/2006/relationships/hyperlink" Target="https://theses.hal.science/tel-00353660/" TargetMode="External"/><Relationship Id="rId282" Type="http://schemas.openxmlformats.org/officeDocument/2006/relationships/hyperlink" Target="https://theses.hal.science/tel-00353660/" TargetMode="External"/><Relationship Id="rId338" Type="http://schemas.openxmlformats.org/officeDocument/2006/relationships/hyperlink" Target="https://theses.hal.science/tel-00353660/" TargetMode="External"/><Relationship Id="rId8" Type="http://schemas.openxmlformats.org/officeDocument/2006/relationships/hyperlink" Target="https://theses.hal.science/tel-00353660/" TargetMode="External"/><Relationship Id="rId142" Type="http://schemas.openxmlformats.org/officeDocument/2006/relationships/hyperlink" Target="https://theses.hal.science/tel-00353660/" TargetMode="External"/><Relationship Id="rId184" Type="http://schemas.openxmlformats.org/officeDocument/2006/relationships/hyperlink" Target="https://theses.hal.science/tel-00353660/" TargetMode="External"/><Relationship Id="rId391" Type="http://schemas.openxmlformats.org/officeDocument/2006/relationships/hyperlink" Target="https://sonel.univ-lr.fr/IMG/pdf/caldwell_2012unesco.pdf" TargetMode="External"/><Relationship Id="rId405" Type="http://schemas.openxmlformats.org/officeDocument/2006/relationships/hyperlink" Target="https://sonel.univ-lr.fr/IMG/pdf/caldwell_2012unesco.pdf" TargetMode="External"/><Relationship Id="rId251" Type="http://schemas.openxmlformats.org/officeDocument/2006/relationships/hyperlink" Target="https://theses.hal.science/tel-00353660/" TargetMode="External"/><Relationship Id="rId46" Type="http://schemas.openxmlformats.org/officeDocument/2006/relationships/hyperlink" Target="https://theses.hal.science/tel-00353660/" TargetMode="External"/><Relationship Id="rId293" Type="http://schemas.openxmlformats.org/officeDocument/2006/relationships/hyperlink" Target="https://theses.hal.science/tel-00353660/" TargetMode="External"/><Relationship Id="rId307" Type="http://schemas.openxmlformats.org/officeDocument/2006/relationships/hyperlink" Target="https://theses.hal.science/tel-00353660/" TargetMode="External"/><Relationship Id="rId349" Type="http://schemas.openxmlformats.org/officeDocument/2006/relationships/hyperlink" Target="https://theses.hal.science/tel-00353660/" TargetMode="External"/><Relationship Id="rId88" Type="http://schemas.openxmlformats.org/officeDocument/2006/relationships/hyperlink" Target="https://theses.hal.science/tel-00353660/" TargetMode="External"/><Relationship Id="rId111" Type="http://schemas.openxmlformats.org/officeDocument/2006/relationships/hyperlink" Target="https://theses.hal.science/tel-00353660/" TargetMode="External"/><Relationship Id="rId153" Type="http://schemas.openxmlformats.org/officeDocument/2006/relationships/hyperlink" Target="https://theses.hal.science/tel-00353660/" TargetMode="External"/><Relationship Id="rId195" Type="http://schemas.openxmlformats.org/officeDocument/2006/relationships/hyperlink" Target="https://theses.hal.science/tel-00353660/" TargetMode="External"/><Relationship Id="rId209" Type="http://schemas.openxmlformats.org/officeDocument/2006/relationships/hyperlink" Target="https://theses.hal.science/tel-00353660/" TargetMode="External"/><Relationship Id="rId360" Type="http://schemas.openxmlformats.org/officeDocument/2006/relationships/hyperlink" Target="https://theses.hal.science/tel-00353660/" TargetMode="External"/><Relationship Id="rId416" Type="http://schemas.openxmlformats.org/officeDocument/2006/relationships/hyperlink" Target="https://pdxscholar.library.pdx.edu/cgi/viewcontent.cgi?article=1426&amp;context=cengin_fac" TargetMode="External"/><Relationship Id="rId220" Type="http://schemas.openxmlformats.org/officeDocument/2006/relationships/hyperlink" Target="https://theses.hal.science/tel-00353660/" TargetMode="External"/><Relationship Id="rId1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57" Type="http://schemas.openxmlformats.org/officeDocument/2006/relationships/hyperlink" Target="https://theses.hal.science/tel-00353660/" TargetMode="External"/><Relationship Id="rId262" Type="http://schemas.openxmlformats.org/officeDocument/2006/relationships/hyperlink" Target="https://theses.hal.science/tel-00353660/" TargetMode="External"/><Relationship Id="rId318" Type="http://schemas.openxmlformats.org/officeDocument/2006/relationships/hyperlink" Target="https://theses.hal.science/tel-00353660/" TargetMode="External"/><Relationship Id="rId99" Type="http://schemas.openxmlformats.org/officeDocument/2006/relationships/hyperlink" Target="https://theses.hal.science/tel-00353660/" TargetMode="External"/><Relationship Id="rId122" Type="http://schemas.openxmlformats.org/officeDocument/2006/relationships/hyperlink" Target="https://theses.hal.science/tel-00353660/" TargetMode="External"/><Relationship Id="rId164" Type="http://schemas.openxmlformats.org/officeDocument/2006/relationships/hyperlink" Target="https://theses.hal.science/tel-00353660/" TargetMode="External"/><Relationship Id="rId371" Type="http://schemas.openxmlformats.org/officeDocument/2006/relationships/hyperlink" Target="https://theses.hal.science/tel-00353660/" TargetMode="External"/><Relationship Id="rId26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31" Type="http://schemas.openxmlformats.org/officeDocument/2006/relationships/hyperlink" Target="https://theses.hal.science/tel-00353660/" TargetMode="External"/><Relationship Id="rId273" Type="http://schemas.openxmlformats.org/officeDocument/2006/relationships/hyperlink" Target="https://theses.hal.science/tel-00353660/" TargetMode="External"/><Relationship Id="rId329" Type="http://schemas.openxmlformats.org/officeDocument/2006/relationships/hyperlink" Target="https://theses.hal.science/tel-00353660/" TargetMode="External"/><Relationship Id="rId68" Type="http://schemas.openxmlformats.org/officeDocument/2006/relationships/hyperlink" Target="https://theses.hal.science/tel-00353660/" TargetMode="External"/><Relationship Id="rId133" Type="http://schemas.openxmlformats.org/officeDocument/2006/relationships/hyperlink" Target="https://theses.hal.science/tel-00353660/" TargetMode="External"/><Relationship Id="rId175" Type="http://schemas.openxmlformats.org/officeDocument/2006/relationships/hyperlink" Target="https://theses.hal.science/tel-00353660/" TargetMode="External"/><Relationship Id="rId340" Type="http://schemas.openxmlformats.org/officeDocument/2006/relationships/hyperlink" Target="https://theses.hal.science/tel-00353660/" TargetMode="External"/><Relationship Id="rId200" Type="http://schemas.openxmlformats.org/officeDocument/2006/relationships/hyperlink" Target="https://theses.hal.science/tel-00353660/" TargetMode="External"/><Relationship Id="rId382" Type="http://schemas.openxmlformats.org/officeDocument/2006/relationships/hyperlink" Target="https://sonel.univ-lr.fr/IMG/pdf/caldwell_2012unesco.pdf" TargetMode="External"/><Relationship Id="rId242" Type="http://schemas.openxmlformats.org/officeDocument/2006/relationships/hyperlink" Target="https://theses.hal.science/tel-00353660/" TargetMode="External"/><Relationship Id="rId284" Type="http://schemas.openxmlformats.org/officeDocument/2006/relationships/hyperlink" Target="https://theses.hal.science/tel-00353660/" TargetMode="External"/><Relationship Id="rId37" Type="http://schemas.openxmlformats.org/officeDocument/2006/relationships/hyperlink" Target="https://theses.hal.science/tel-00353660/" TargetMode="External"/><Relationship Id="rId79" Type="http://schemas.openxmlformats.org/officeDocument/2006/relationships/hyperlink" Target="https://theses.hal.science/tel-00353660/" TargetMode="External"/><Relationship Id="rId102" Type="http://schemas.openxmlformats.org/officeDocument/2006/relationships/hyperlink" Target="https://theses.hal.science/tel-00353660/" TargetMode="External"/><Relationship Id="rId144" Type="http://schemas.openxmlformats.org/officeDocument/2006/relationships/hyperlink" Target="https://theses.hal.science/tel-00353660/" TargetMode="External"/><Relationship Id="rId90" Type="http://schemas.openxmlformats.org/officeDocument/2006/relationships/hyperlink" Target="https://theses.hal.science/tel-00353660/" TargetMode="External"/><Relationship Id="rId186" Type="http://schemas.openxmlformats.org/officeDocument/2006/relationships/hyperlink" Target="https://theses.hal.science/tel-00353660/" TargetMode="External"/><Relationship Id="rId351" Type="http://schemas.openxmlformats.org/officeDocument/2006/relationships/hyperlink" Target="https://theses.hal.science/tel-00353660/" TargetMode="External"/><Relationship Id="rId393" Type="http://schemas.openxmlformats.org/officeDocument/2006/relationships/hyperlink" Target="https://sonel.univ-lr.fr/IMG/pdf/caldwell_2012unesco.pdf" TargetMode="External"/><Relationship Id="rId407" Type="http://schemas.openxmlformats.org/officeDocument/2006/relationships/hyperlink" Target="https://sonel.univ-lr.fr/IMG/pdf/caldwell_2012unesco.pdf" TargetMode="External"/><Relationship Id="rId211" Type="http://schemas.openxmlformats.org/officeDocument/2006/relationships/hyperlink" Target="https://theses.hal.science/tel-00353660/" TargetMode="External"/><Relationship Id="rId253" Type="http://schemas.openxmlformats.org/officeDocument/2006/relationships/hyperlink" Target="https://theses.hal.science/tel-00353660/" TargetMode="External"/><Relationship Id="rId295" Type="http://schemas.openxmlformats.org/officeDocument/2006/relationships/hyperlink" Target="https://theses.hal.science/tel-00353660/" TargetMode="External"/><Relationship Id="rId309" Type="http://schemas.openxmlformats.org/officeDocument/2006/relationships/hyperlink" Target="https://theses.hal.science/tel-00353660/" TargetMode="External"/><Relationship Id="rId48" Type="http://schemas.openxmlformats.org/officeDocument/2006/relationships/hyperlink" Target="https://theses.hal.science/tel-00353660/" TargetMode="External"/><Relationship Id="rId113" Type="http://schemas.openxmlformats.org/officeDocument/2006/relationships/hyperlink" Target="https://theses.hal.science/tel-00353660/" TargetMode="External"/><Relationship Id="rId320" Type="http://schemas.openxmlformats.org/officeDocument/2006/relationships/hyperlink" Target="https://theses.hal.science/tel-0035366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33953-191B-49C1-8A98-A2ED1973AB25}">
  <dimension ref="A1:N632"/>
  <sheetViews>
    <sheetView tabSelected="1" topLeftCell="A331" workbookViewId="0">
      <selection activeCell="I349" sqref="I349"/>
    </sheetView>
  </sheetViews>
  <sheetFormatPr defaultRowHeight="14.5" x14ac:dyDescent="0.35"/>
  <cols>
    <col min="1" max="1" width="34.6328125" bestFit="1" customWidth="1"/>
    <col min="2" max="2" width="26.6328125" bestFit="1" customWidth="1"/>
    <col min="3" max="3" width="10.36328125" style="21" bestFit="1" customWidth="1"/>
    <col min="4" max="4" width="10.1796875" style="21" customWidth="1"/>
    <col min="5" max="5" width="9.453125" bestFit="1" customWidth="1"/>
    <col min="6" max="6" width="6" bestFit="1" customWidth="1"/>
    <col min="7" max="7" width="14.90625" style="21" bestFit="1" customWidth="1"/>
    <col min="8" max="8" width="13.08984375" customWidth="1"/>
    <col min="9" max="9" width="13.36328125" style="21" bestFit="1" customWidth="1"/>
    <col min="10" max="10" width="10.453125" bestFit="1" customWidth="1"/>
    <col min="11" max="11" width="135.36328125" bestFit="1" customWidth="1"/>
  </cols>
  <sheetData>
    <row r="1" spans="1:11" s="3" customForma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800</v>
      </c>
      <c r="H1" s="1" t="s">
        <v>6</v>
      </c>
      <c r="I1" s="2" t="s">
        <v>801</v>
      </c>
      <c r="J1" s="1" t="s">
        <v>7</v>
      </c>
      <c r="K1" s="1" t="s">
        <v>8</v>
      </c>
    </row>
    <row r="2" spans="1:11" s="3" customFormat="1" x14ac:dyDescent="0.35">
      <c r="A2" s="8" t="s">
        <v>770</v>
      </c>
      <c r="B2" s="12" t="s">
        <v>259</v>
      </c>
      <c r="C2" s="4">
        <v>36.664124999999999</v>
      </c>
      <c r="D2" s="4">
        <v>5.3031030000000001</v>
      </c>
      <c r="E2" s="8">
        <v>1922</v>
      </c>
      <c r="F2" s="8">
        <v>1953</v>
      </c>
      <c r="G2" s="9">
        <f t="shared" ref="G2:G7" si="0">(1+(F2-E2))-I2</f>
        <v>2</v>
      </c>
      <c r="H2" s="8" t="s">
        <v>260</v>
      </c>
      <c r="I2" s="9">
        <v>30</v>
      </c>
      <c r="J2" s="8" t="s">
        <v>798</v>
      </c>
      <c r="K2" s="11" t="s">
        <v>806</v>
      </c>
    </row>
    <row r="3" spans="1:11" s="3" customFormat="1" x14ac:dyDescent="0.35">
      <c r="A3" s="12" t="s">
        <v>261</v>
      </c>
      <c r="B3" s="12" t="s">
        <v>259</v>
      </c>
      <c r="C3" s="4">
        <v>35.854427999999999</v>
      </c>
      <c r="D3" s="4">
        <v>-0.30554300000000001</v>
      </c>
      <c r="E3" s="8">
        <v>1958</v>
      </c>
      <c r="F3" s="8">
        <v>1958</v>
      </c>
      <c r="G3" s="9">
        <f t="shared" si="0"/>
        <v>1</v>
      </c>
      <c r="H3" s="8" t="s">
        <v>31</v>
      </c>
      <c r="I3" s="9">
        <v>0</v>
      </c>
      <c r="J3" s="8" t="s">
        <v>798</v>
      </c>
      <c r="K3" s="11" t="s">
        <v>806</v>
      </c>
    </row>
    <row r="4" spans="1:11" s="3" customFormat="1" x14ac:dyDescent="0.35">
      <c r="A4" s="12" t="s">
        <v>262</v>
      </c>
      <c r="B4" s="12" t="s">
        <v>259</v>
      </c>
      <c r="C4" s="4">
        <v>35.713698999999998</v>
      </c>
      <c r="D4" s="4">
        <v>-0.65707000000000004</v>
      </c>
      <c r="E4" s="8">
        <v>1931</v>
      </c>
      <c r="F4" s="8">
        <v>1931</v>
      </c>
      <c r="G4" s="9">
        <f t="shared" si="0"/>
        <v>1</v>
      </c>
      <c r="H4" s="8" t="s">
        <v>31</v>
      </c>
      <c r="I4" s="9">
        <v>0</v>
      </c>
      <c r="J4" s="8" t="s">
        <v>798</v>
      </c>
      <c r="K4" s="11" t="s">
        <v>806</v>
      </c>
    </row>
    <row r="5" spans="1:11" s="3" customFormat="1" x14ac:dyDescent="0.35">
      <c r="A5" s="12" t="s">
        <v>263</v>
      </c>
      <c r="B5" s="12" t="s">
        <v>259</v>
      </c>
      <c r="C5" s="4">
        <v>36.750259999999997</v>
      </c>
      <c r="D5" s="4">
        <v>3.0959270000000001</v>
      </c>
      <c r="E5" s="8">
        <v>1843</v>
      </c>
      <c r="F5" s="8">
        <v>1850</v>
      </c>
      <c r="G5" s="9">
        <f t="shared" si="0"/>
        <v>5</v>
      </c>
      <c r="H5" s="8" t="s">
        <v>264</v>
      </c>
      <c r="I5" s="9">
        <v>3</v>
      </c>
      <c r="J5" s="8" t="s">
        <v>770</v>
      </c>
      <c r="K5" s="11" t="s">
        <v>806</v>
      </c>
    </row>
    <row r="6" spans="1:11" s="3" customFormat="1" x14ac:dyDescent="0.35">
      <c r="A6" s="12" t="s">
        <v>263</v>
      </c>
      <c r="B6" s="12" t="s">
        <v>259</v>
      </c>
      <c r="C6" s="4">
        <v>36.750259999999997</v>
      </c>
      <c r="D6" s="4">
        <v>3.0959270000000001</v>
      </c>
      <c r="E6" s="8">
        <v>1921</v>
      </c>
      <c r="F6" s="8">
        <v>1921</v>
      </c>
      <c r="G6" s="9">
        <f t="shared" si="0"/>
        <v>1</v>
      </c>
      <c r="H6" s="8" t="s">
        <v>31</v>
      </c>
      <c r="I6" s="9">
        <v>0</v>
      </c>
      <c r="J6" s="8" t="s">
        <v>798</v>
      </c>
      <c r="K6" s="11" t="s">
        <v>806</v>
      </c>
    </row>
    <row r="7" spans="1:11" s="3" customFormat="1" x14ac:dyDescent="0.35">
      <c r="A7" s="12" t="s">
        <v>265</v>
      </c>
      <c r="B7" s="12" t="s">
        <v>259</v>
      </c>
      <c r="C7" s="4">
        <v>36.752161000000001</v>
      </c>
      <c r="D7" s="4">
        <v>5.0884799999999997</v>
      </c>
      <c r="E7" s="8">
        <v>1958</v>
      </c>
      <c r="F7" s="8">
        <v>1958</v>
      </c>
      <c r="G7" s="9">
        <f t="shared" si="0"/>
        <v>1</v>
      </c>
      <c r="H7" s="8" t="s">
        <v>31</v>
      </c>
      <c r="I7" s="9">
        <v>0</v>
      </c>
      <c r="J7" s="8" t="s">
        <v>798</v>
      </c>
      <c r="K7" s="11" t="s">
        <v>806</v>
      </c>
    </row>
    <row r="8" spans="1:11" s="3" customFormat="1" x14ac:dyDescent="0.35">
      <c r="A8" s="8" t="s">
        <v>545</v>
      </c>
      <c r="B8" s="8" t="s">
        <v>546</v>
      </c>
      <c r="C8" s="9">
        <v>-38.895187999999997</v>
      </c>
      <c r="D8" s="9">
        <v>-62.100169999999999</v>
      </c>
      <c r="E8" s="8" t="s">
        <v>770</v>
      </c>
      <c r="F8" s="8" t="s">
        <v>770</v>
      </c>
      <c r="G8" s="9">
        <v>10</v>
      </c>
      <c r="H8" s="8" t="s">
        <v>770</v>
      </c>
      <c r="I8" s="8" t="s">
        <v>770</v>
      </c>
      <c r="J8" s="8" t="s">
        <v>770</v>
      </c>
      <c r="K8" s="11" t="s">
        <v>807</v>
      </c>
    </row>
    <row r="9" spans="1:11" s="3" customFormat="1" x14ac:dyDescent="0.35">
      <c r="A9" s="12" t="s">
        <v>460</v>
      </c>
      <c r="B9" s="12" t="s">
        <v>460</v>
      </c>
      <c r="C9" s="4">
        <v>-23.885168</v>
      </c>
      <c r="D9" s="4">
        <v>-147.665232</v>
      </c>
      <c r="E9" s="8">
        <v>1956</v>
      </c>
      <c r="F9" s="8">
        <v>1958</v>
      </c>
      <c r="G9" s="9">
        <f t="shared" ref="G9:G14" si="1">(1+(F9-E9))-I9</f>
        <v>3</v>
      </c>
      <c r="H9" s="8" t="s">
        <v>31</v>
      </c>
      <c r="I9" s="9">
        <v>0</v>
      </c>
      <c r="J9" s="8" t="s">
        <v>798</v>
      </c>
      <c r="K9" s="11" t="s">
        <v>806</v>
      </c>
    </row>
    <row r="10" spans="1:11" s="3" customFormat="1" x14ac:dyDescent="0.35">
      <c r="A10" s="8" t="s">
        <v>616</v>
      </c>
      <c r="B10" s="8" t="s">
        <v>617</v>
      </c>
      <c r="C10" s="9">
        <v>-29.433214</v>
      </c>
      <c r="D10" s="9">
        <v>153.36021400000001</v>
      </c>
      <c r="E10" s="8">
        <v>1900</v>
      </c>
      <c r="F10" s="8">
        <v>1984</v>
      </c>
      <c r="G10" s="9">
        <f t="shared" si="1"/>
        <v>19</v>
      </c>
      <c r="H10" s="8" t="s">
        <v>618</v>
      </c>
      <c r="I10" s="9">
        <v>66</v>
      </c>
      <c r="J10" s="8" t="s">
        <v>799</v>
      </c>
      <c r="K10" s="11" t="s">
        <v>807</v>
      </c>
    </row>
    <row r="11" spans="1:11" s="3" customFormat="1" x14ac:dyDescent="0.35">
      <c r="A11" s="8" t="s">
        <v>619</v>
      </c>
      <c r="B11" s="8" t="s">
        <v>617</v>
      </c>
      <c r="C11" s="9">
        <v>-28.869309000000001</v>
      </c>
      <c r="D11" s="9">
        <v>153.55457799999999</v>
      </c>
      <c r="E11" s="8">
        <v>1897</v>
      </c>
      <c r="F11" s="8">
        <v>1986</v>
      </c>
      <c r="G11" s="9">
        <f t="shared" si="1"/>
        <v>21</v>
      </c>
      <c r="H11" s="8" t="s">
        <v>620</v>
      </c>
      <c r="I11" s="9">
        <v>69</v>
      </c>
      <c r="J11" s="8" t="s">
        <v>798</v>
      </c>
      <c r="K11" s="11" t="s">
        <v>807</v>
      </c>
    </row>
    <row r="12" spans="1:11" s="3" customFormat="1" x14ac:dyDescent="0.35">
      <c r="A12" s="12" t="s">
        <v>225</v>
      </c>
      <c r="B12" s="12" t="s">
        <v>226</v>
      </c>
      <c r="C12" s="4">
        <v>51.228524</v>
      </c>
      <c r="D12" s="4">
        <v>4.4024559999999999</v>
      </c>
      <c r="E12" s="8">
        <v>1799</v>
      </c>
      <c r="F12" s="8">
        <v>1803</v>
      </c>
      <c r="G12" s="9">
        <f t="shared" si="1"/>
        <v>2</v>
      </c>
      <c r="H12" s="8" t="s">
        <v>227</v>
      </c>
      <c r="I12" s="9">
        <v>3</v>
      </c>
      <c r="J12" s="8" t="s">
        <v>798</v>
      </c>
      <c r="K12" s="11" t="s">
        <v>806</v>
      </c>
    </row>
    <row r="13" spans="1:11" s="3" customFormat="1" x14ac:dyDescent="0.35">
      <c r="A13" s="8" t="s">
        <v>228</v>
      </c>
      <c r="B13" s="12" t="s">
        <v>226</v>
      </c>
      <c r="C13" s="4">
        <v>51.143439999999998</v>
      </c>
      <c r="D13" s="4">
        <v>2.7387790000000001</v>
      </c>
      <c r="E13" s="8">
        <v>1801</v>
      </c>
      <c r="F13" s="8">
        <v>1808</v>
      </c>
      <c r="G13" s="9">
        <f t="shared" si="1"/>
        <v>8</v>
      </c>
      <c r="H13" s="8" t="s">
        <v>31</v>
      </c>
      <c r="I13" s="9">
        <v>0</v>
      </c>
      <c r="J13" s="8" t="s">
        <v>798</v>
      </c>
      <c r="K13" s="11" t="s">
        <v>806</v>
      </c>
    </row>
    <row r="14" spans="1:11" s="3" customFormat="1" x14ac:dyDescent="0.35">
      <c r="A14" s="8" t="s">
        <v>543</v>
      </c>
      <c r="B14" s="8" t="s">
        <v>226</v>
      </c>
      <c r="C14" s="9">
        <v>51.340093000000003</v>
      </c>
      <c r="D14" s="9">
        <v>3.2162120000000001</v>
      </c>
      <c r="E14" s="8">
        <v>1940</v>
      </c>
      <c r="F14" s="8">
        <v>1973</v>
      </c>
      <c r="G14" s="9">
        <f t="shared" si="1"/>
        <v>6</v>
      </c>
      <c r="H14" s="8" t="s">
        <v>544</v>
      </c>
      <c r="I14" s="9">
        <v>28</v>
      </c>
      <c r="J14" s="8" t="s">
        <v>770</v>
      </c>
      <c r="K14" s="11" t="s">
        <v>807</v>
      </c>
    </row>
    <row r="15" spans="1:11" s="3" customFormat="1" x14ac:dyDescent="0.35">
      <c r="A15" s="8" t="s">
        <v>474</v>
      </c>
      <c r="B15" s="8" t="s">
        <v>475</v>
      </c>
      <c r="C15" s="9">
        <v>17.492225000000001</v>
      </c>
      <c r="D15" s="9">
        <v>-88.185248999999999</v>
      </c>
      <c r="E15" s="8" t="s">
        <v>770</v>
      </c>
      <c r="F15" s="8" t="s">
        <v>770</v>
      </c>
      <c r="G15" s="8" t="s">
        <v>770</v>
      </c>
      <c r="H15" s="8" t="s">
        <v>770</v>
      </c>
      <c r="I15" s="8" t="s">
        <v>770</v>
      </c>
      <c r="J15" s="8" t="s">
        <v>770</v>
      </c>
      <c r="K15" s="11" t="s">
        <v>807</v>
      </c>
    </row>
    <row r="16" spans="1:11" s="3" customFormat="1" x14ac:dyDescent="0.35">
      <c r="A16" s="12" t="s">
        <v>298</v>
      </c>
      <c r="B16" s="12" t="s">
        <v>299</v>
      </c>
      <c r="C16" s="4">
        <v>6.3429510000000002</v>
      </c>
      <c r="D16" s="4">
        <v>2.4286789999999998</v>
      </c>
      <c r="E16" s="8">
        <v>1951</v>
      </c>
      <c r="F16" s="8">
        <v>1952</v>
      </c>
      <c r="G16" s="9">
        <f t="shared" ref="G16:G47" si="2">(1+(F16-E16))-I16</f>
        <v>2</v>
      </c>
      <c r="H16" s="8" t="s">
        <v>31</v>
      </c>
      <c r="I16" s="9">
        <v>0</v>
      </c>
      <c r="J16" s="8" t="s">
        <v>798</v>
      </c>
      <c r="K16" s="11" t="s">
        <v>806</v>
      </c>
    </row>
    <row r="17" spans="1:14" s="3" customFormat="1" x14ac:dyDescent="0.35">
      <c r="A17" s="12" t="s">
        <v>342</v>
      </c>
      <c r="B17" s="12" t="s">
        <v>343</v>
      </c>
      <c r="C17" s="4">
        <v>11.588322</v>
      </c>
      <c r="D17" s="4">
        <v>104.944394</v>
      </c>
      <c r="E17" s="8">
        <v>1937</v>
      </c>
      <c r="F17" s="8">
        <v>1938</v>
      </c>
      <c r="G17" s="9">
        <f t="shared" si="2"/>
        <v>2</v>
      </c>
      <c r="H17" s="8" t="s">
        <v>31</v>
      </c>
      <c r="I17" s="9">
        <v>0</v>
      </c>
      <c r="J17" s="8" t="s">
        <v>798</v>
      </c>
      <c r="K17" s="11" t="s">
        <v>806</v>
      </c>
    </row>
    <row r="18" spans="1:14" s="3" customFormat="1" x14ac:dyDescent="0.35">
      <c r="A18" s="12" t="s">
        <v>344</v>
      </c>
      <c r="B18" s="12" t="s">
        <v>343</v>
      </c>
      <c r="C18" s="4">
        <v>11.558686</v>
      </c>
      <c r="D18" s="4">
        <v>104.939471</v>
      </c>
      <c r="E18" s="8">
        <v>1860</v>
      </c>
      <c r="F18" s="8">
        <v>1868</v>
      </c>
      <c r="G18" s="9">
        <f t="shared" si="2"/>
        <v>5</v>
      </c>
      <c r="H18" s="8" t="s">
        <v>345</v>
      </c>
      <c r="I18" s="9">
        <v>4</v>
      </c>
      <c r="J18" s="8" t="s">
        <v>770</v>
      </c>
      <c r="K18" s="11" t="s">
        <v>806</v>
      </c>
    </row>
    <row r="19" spans="1:14" s="3" customFormat="1" x14ac:dyDescent="0.35">
      <c r="A19" s="12" t="s">
        <v>346</v>
      </c>
      <c r="B19" s="12" t="s">
        <v>343</v>
      </c>
      <c r="C19" s="4">
        <v>11.406938999999999</v>
      </c>
      <c r="D19" s="4">
        <v>102.988</v>
      </c>
      <c r="E19" s="8">
        <v>1930</v>
      </c>
      <c r="F19" s="8">
        <v>1930</v>
      </c>
      <c r="G19" s="9">
        <f t="shared" si="2"/>
        <v>1</v>
      </c>
      <c r="H19" s="8" t="s">
        <v>31</v>
      </c>
      <c r="I19" s="9">
        <v>0</v>
      </c>
      <c r="J19" s="8" t="s">
        <v>798</v>
      </c>
      <c r="K19" s="11" t="s">
        <v>806</v>
      </c>
    </row>
    <row r="20" spans="1:14" x14ac:dyDescent="0.35">
      <c r="A20" s="12" t="s">
        <v>347</v>
      </c>
      <c r="B20" s="12" t="s">
        <v>343</v>
      </c>
      <c r="C20" s="4">
        <v>10.509842000000001</v>
      </c>
      <c r="D20" s="4">
        <v>103.610051</v>
      </c>
      <c r="E20" s="8">
        <v>1927</v>
      </c>
      <c r="F20" s="8">
        <v>1928</v>
      </c>
      <c r="G20" s="9">
        <f t="shared" si="2"/>
        <v>2</v>
      </c>
      <c r="H20" s="8" t="s">
        <v>31</v>
      </c>
      <c r="I20" s="9">
        <v>0</v>
      </c>
      <c r="J20" s="8" t="s">
        <v>798</v>
      </c>
      <c r="K20" s="11" t="s">
        <v>806</v>
      </c>
    </row>
    <row r="21" spans="1:14" x14ac:dyDescent="0.35">
      <c r="A21" s="8" t="s">
        <v>770</v>
      </c>
      <c r="B21" s="12" t="s">
        <v>306</v>
      </c>
      <c r="C21" s="4">
        <v>3.9958209999999998</v>
      </c>
      <c r="D21" s="4">
        <v>9.2249569999999999</v>
      </c>
      <c r="E21" s="8">
        <v>1948</v>
      </c>
      <c r="F21" s="8">
        <v>1955</v>
      </c>
      <c r="G21" s="9">
        <f t="shared" si="2"/>
        <v>2</v>
      </c>
      <c r="H21" s="8" t="s">
        <v>307</v>
      </c>
      <c r="I21" s="9">
        <v>6</v>
      </c>
      <c r="J21" s="8" t="s">
        <v>798</v>
      </c>
      <c r="K21" s="11" t="s">
        <v>806</v>
      </c>
    </row>
    <row r="22" spans="1:14" x14ac:dyDescent="0.35">
      <c r="A22" s="12" t="s">
        <v>308</v>
      </c>
      <c r="B22" s="12" t="s">
        <v>306</v>
      </c>
      <c r="C22" s="4">
        <v>4.0112519999999998</v>
      </c>
      <c r="D22" s="4">
        <v>9.7008489999999998</v>
      </c>
      <c r="E22" s="8">
        <v>1938</v>
      </c>
      <c r="F22" s="8">
        <v>1955</v>
      </c>
      <c r="G22" s="9">
        <f t="shared" si="2"/>
        <v>3</v>
      </c>
      <c r="H22" s="8" t="s">
        <v>309</v>
      </c>
      <c r="I22" s="9">
        <v>15</v>
      </c>
      <c r="J22" s="8" t="s">
        <v>798</v>
      </c>
      <c r="K22" s="11" t="s">
        <v>806</v>
      </c>
      <c r="N22" s="13"/>
    </row>
    <row r="23" spans="1:14" x14ac:dyDescent="0.35">
      <c r="A23" s="12" t="s">
        <v>310</v>
      </c>
      <c r="B23" s="12" t="s">
        <v>306</v>
      </c>
      <c r="C23" s="4">
        <v>2.9387850000000002</v>
      </c>
      <c r="D23" s="4">
        <v>9.9052939999999996</v>
      </c>
      <c r="E23" s="8">
        <v>1915</v>
      </c>
      <c r="F23" s="8">
        <v>1915</v>
      </c>
      <c r="G23" s="9">
        <f t="shared" si="2"/>
        <v>1</v>
      </c>
      <c r="H23" s="8" t="s">
        <v>31</v>
      </c>
      <c r="I23" s="9">
        <v>0</v>
      </c>
      <c r="J23" s="8" t="s">
        <v>798</v>
      </c>
      <c r="K23" s="11" t="s">
        <v>806</v>
      </c>
      <c r="N23" s="14"/>
    </row>
    <row r="24" spans="1:14" x14ac:dyDescent="0.35">
      <c r="A24" s="12" t="s">
        <v>452</v>
      </c>
      <c r="B24" s="12" t="s">
        <v>453</v>
      </c>
      <c r="C24" s="4">
        <v>48.635733000000002</v>
      </c>
      <c r="D24" s="4">
        <v>-56.191203000000002</v>
      </c>
      <c r="E24" s="8">
        <v>1851</v>
      </c>
      <c r="F24" s="8">
        <v>1862</v>
      </c>
      <c r="G24" s="9">
        <f t="shared" si="2"/>
        <v>3</v>
      </c>
      <c r="H24" s="8" t="s">
        <v>454</v>
      </c>
      <c r="I24" s="9">
        <v>9</v>
      </c>
      <c r="J24" s="8" t="s">
        <v>798</v>
      </c>
      <c r="K24" s="11" t="s">
        <v>806</v>
      </c>
      <c r="N24" s="14"/>
    </row>
    <row r="25" spans="1:14" x14ac:dyDescent="0.35">
      <c r="A25" s="8" t="s">
        <v>575</v>
      </c>
      <c r="B25" s="8" t="s">
        <v>453</v>
      </c>
      <c r="C25" s="9">
        <v>50.713012999999997</v>
      </c>
      <c r="D25" s="9">
        <v>-127.490478</v>
      </c>
      <c r="E25" s="8">
        <v>1905</v>
      </c>
      <c r="F25" s="8">
        <v>1909</v>
      </c>
      <c r="G25" s="9">
        <f t="shared" si="2"/>
        <v>5</v>
      </c>
      <c r="H25" s="8" t="s">
        <v>31</v>
      </c>
      <c r="I25" s="9">
        <v>0</v>
      </c>
      <c r="J25" s="8" t="s">
        <v>770</v>
      </c>
      <c r="K25" s="11" t="s">
        <v>807</v>
      </c>
      <c r="N25" s="15"/>
    </row>
    <row r="26" spans="1:14" x14ac:dyDescent="0.35">
      <c r="A26" s="8" t="s">
        <v>730</v>
      </c>
      <c r="B26" s="8" t="s">
        <v>453</v>
      </c>
      <c r="C26" s="9">
        <v>49.154744000000001</v>
      </c>
      <c r="D26" s="9">
        <v>-125.904543</v>
      </c>
      <c r="E26" s="8">
        <v>1905</v>
      </c>
      <c r="F26" s="8">
        <v>1948</v>
      </c>
      <c r="G26" s="9">
        <f t="shared" si="2"/>
        <v>29</v>
      </c>
      <c r="H26" s="8" t="s">
        <v>731</v>
      </c>
      <c r="I26" s="9">
        <v>15</v>
      </c>
      <c r="J26" s="8" t="s">
        <v>799</v>
      </c>
      <c r="K26" s="11" t="s">
        <v>809</v>
      </c>
      <c r="N26" s="15"/>
    </row>
    <row r="27" spans="1:14" x14ac:dyDescent="0.35">
      <c r="A27" s="8" t="s">
        <v>732</v>
      </c>
      <c r="B27" s="8" t="s">
        <v>453</v>
      </c>
      <c r="C27" s="9">
        <v>54.562036999999997</v>
      </c>
      <c r="D27" s="9">
        <v>-130.433131</v>
      </c>
      <c r="E27" s="8">
        <v>1903</v>
      </c>
      <c r="F27" s="8">
        <v>1926</v>
      </c>
      <c r="G27" s="9">
        <f t="shared" si="2"/>
        <v>15</v>
      </c>
      <c r="H27" s="8" t="s">
        <v>733</v>
      </c>
      <c r="I27" s="9">
        <v>9</v>
      </c>
      <c r="J27" s="8" t="s">
        <v>799</v>
      </c>
      <c r="K27" s="11" t="s">
        <v>809</v>
      </c>
      <c r="N27" s="15"/>
    </row>
    <row r="28" spans="1:14" x14ac:dyDescent="0.35">
      <c r="A28" s="8" t="s">
        <v>734</v>
      </c>
      <c r="B28" s="8" t="s">
        <v>453</v>
      </c>
      <c r="C28" s="9">
        <v>49.235253</v>
      </c>
      <c r="D28" s="9">
        <v>-124.81469800000001</v>
      </c>
      <c r="E28" s="8">
        <v>1909</v>
      </c>
      <c r="F28" s="8">
        <v>1950</v>
      </c>
      <c r="G28" s="9">
        <f t="shared" si="2"/>
        <v>6</v>
      </c>
      <c r="H28" s="8" t="s">
        <v>735</v>
      </c>
      <c r="I28" s="9">
        <v>36</v>
      </c>
      <c r="J28" s="8" t="s">
        <v>799</v>
      </c>
      <c r="K28" s="11" t="s">
        <v>809</v>
      </c>
      <c r="N28" s="15"/>
    </row>
    <row r="29" spans="1:14" x14ac:dyDescent="0.35">
      <c r="A29" s="8" t="s">
        <v>736</v>
      </c>
      <c r="B29" s="8" t="s">
        <v>453</v>
      </c>
      <c r="C29" s="9">
        <v>49.212429999999998</v>
      </c>
      <c r="D29" s="9">
        <v>-122.60621999999999</v>
      </c>
      <c r="E29" s="8">
        <v>1899</v>
      </c>
      <c r="F29" s="8">
        <v>1900</v>
      </c>
      <c r="G29" s="9">
        <f t="shared" si="2"/>
        <v>2</v>
      </c>
      <c r="H29" s="8" t="s">
        <v>31</v>
      </c>
      <c r="I29" s="9">
        <v>0</v>
      </c>
      <c r="J29" s="8" t="s">
        <v>799</v>
      </c>
      <c r="K29" s="11" t="s">
        <v>809</v>
      </c>
      <c r="N29" s="15"/>
    </row>
    <row r="30" spans="1:14" x14ac:dyDescent="0.35">
      <c r="A30" s="8" t="s">
        <v>737</v>
      </c>
      <c r="B30" s="8" t="s">
        <v>453</v>
      </c>
      <c r="C30" s="9">
        <v>48.994258000000002</v>
      </c>
      <c r="D30" s="9">
        <v>-122.252426</v>
      </c>
      <c r="E30" s="8">
        <v>1898</v>
      </c>
      <c r="F30" s="8">
        <v>1911</v>
      </c>
      <c r="G30" s="9">
        <f t="shared" si="2"/>
        <v>4</v>
      </c>
      <c r="H30" s="8" t="s">
        <v>738</v>
      </c>
      <c r="I30" s="9">
        <v>10</v>
      </c>
      <c r="J30" s="8" t="s">
        <v>799</v>
      </c>
      <c r="K30" s="11" t="s">
        <v>809</v>
      </c>
      <c r="N30" s="15"/>
    </row>
    <row r="31" spans="1:14" x14ac:dyDescent="0.35">
      <c r="A31" s="8" t="s">
        <v>814</v>
      </c>
      <c r="B31" s="8" t="s">
        <v>453</v>
      </c>
      <c r="C31" s="9">
        <v>49.230787999999997</v>
      </c>
      <c r="D31" s="9">
        <v>-122.77153</v>
      </c>
      <c r="E31" s="8">
        <v>1912</v>
      </c>
      <c r="F31" s="8">
        <v>1914</v>
      </c>
      <c r="G31" s="9">
        <f t="shared" si="2"/>
        <v>3</v>
      </c>
      <c r="H31" s="8" t="s">
        <v>31</v>
      </c>
      <c r="I31" s="9">
        <v>0</v>
      </c>
      <c r="J31" s="8" t="s">
        <v>799</v>
      </c>
      <c r="K31" s="11" t="s">
        <v>809</v>
      </c>
      <c r="N31" s="15"/>
    </row>
    <row r="32" spans="1:14" x14ac:dyDescent="0.35">
      <c r="A32" s="8" t="s">
        <v>815</v>
      </c>
      <c r="B32" s="8" t="s">
        <v>453</v>
      </c>
      <c r="C32" s="9">
        <v>49.199367000000002</v>
      </c>
      <c r="D32" s="9">
        <v>-122.912099</v>
      </c>
      <c r="E32" s="8">
        <v>1895</v>
      </c>
      <c r="F32" s="8">
        <v>1926</v>
      </c>
      <c r="G32" s="9">
        <f t="shared" si="2"/>
        <v>32</v>
      </c>
      <c r="H32" s="8" t="s">
        <v>31</v>
      </c>
      <c r="I32" s="9">
        <v>0</v>
      </c>
      <c r="J32" s="8" t="s">
        <v>799</v>
      </c>
      <c r="K32" s="11" t="s">
        <v>809</v>
      </c>
      <c r="N32" s="15"/>
    </row>
    <row r="33" spans="1:14" x14ac:dyDescent="0.35">
      <c r="A33" s="8" t="s">
        <v>816</v>
      </c>
      <c r="B33" s="8" t="s">
        <v>453</v>
      </c>
      <c r="C33" s="9">
        <v>49.180394</v>
      </c>
      <c r="D33" s="9">
        <v>-123.184955</v>
      </c>
      <c r="E33" s="8">
        <v>1895</v>
      </c>
      <c r="F33" s="8">
        <v>1926</v>
      </c>
      <c r="G33" s="9">
        <f t="shared" si="2"/>
        <v>32</v>
      </c>
      <c r="H33" s="8" t="s">
        <v>31</v>
      </c>
      <c r="I33" s="9">
        <v>0</v>
      </c>
      <c r="J33" s="8" t="s">
        <v>799</v>
      </c>
      <c r="K33" s="11" t="s">
        <v>809</v>
      </c>
      <c r="N33" s="15"/>
    </row>
    <row r="34" spans="1:14" x14ac:dyDescent="0.35">
      <c r="A34" s="8" t="s">
        <v>739</v>
      </c>
      <c r="B34" s="8" t="s">
        <v>453</v>
      </c>
      <c r="C34" s="4">
        <v>49.333333000000003</v>
      </c>
      <c r="D34" s="4">
        <v>-123.25</v>
      </c>
      <c r="E34" s="8">
        <v>1897</v>
      </c>
      <c r="F34" s="8">
        <v>1960</v>
      </c>
      <c r="G34" s="9">
        <f t="shared" si="2"/>
        <v>38</v>
      </c>
      <c r="H34" s="8" t="s">
        <v>740</v>
      </c>
      <c r="I34" s="9">
        <v>26</v>
      </c>
      <c r="J34" s="8" t="s">
        <v>799</v>
      </c>
      <c r="K34" s="11" t="s">
        <v>809</v>
      </c>
      <c r="N34" s="15"/>
    </row>
    <row r="35" spans="1:14" x14ac:dyDescent="0.35">
      <c r="A35" s="8" t="s">
        <v>741</v>
      </c>
      <c r="B35" s="8" t="s">
        <v>453</v>
      </c>
      <c r="C35" s="9">
        <v>49.389890999999999</v>
      </c>
      <c r="D35" s="9">
        <v>-123.55645199999999</v>
      </c>
      <c r="E35" s="8">
        <v>1895</v>
      </c>
      <c r="F35" s="8">
        <v>1930</v>
      </c>
      <c r="G35" s="9">
        <f t="shared" si="2"/>
        <v>36</v>
      </c>
      <c r="H35" s="8" t="s">
        <v>31</v>
      </c>
      <c r="I35" s="9">
        <v>0</v>
      </c>
      <c r="J35" s="8" t="s">
        <v>799</v>
      </c>
      <c r="K35" s="11" t="s">
        <v>809</v>
      </c>
      <c r="N35" s="15"/>
    </row>
    <row r="36" spans="1:14" x14ac:dyDescent="0.35">
      <c r="A36" s="8" t="s">
        <v>742</v>
      </c>
      <c r="B36" s="8" t="s">
        <v>453</v>
      </c>
      <c r="C36" s="9">
        <v>54.066256000000003</v>
      </c>
      <c r="D36" s="9">
        <v>-130.10227</v>
      </c>
      <c r="E36" s="8">
        <v>1907</v>
      </c>
      <c r="F36" s="8">
        <v>1914</v>
      </c>
      <c r="G36" s="9">
        <f t="shared" si="2"/>
        <v>8</v>
      </c>
      <c r="H36" s="8" t="s">
        <v>31</v>
      </c>
      <c r="I36" s="9">
        <v>0</v>
      </c>
      <c r="J36" s="8" t="s">
        <v>799</v>
      </c>
      <c r="K36" s="11" t="s">
        <v>809</v>
      </c>
      <c r="N36" s="15"/>
    </row>
    <row r="37" spans="1:14" x14ac:dyDescent="0.35">
      <c r="A37" s="8" t="s">
        <v>743</v>
      </c>
      <c r="B37" s="8" t="s">
        <v>453</v>
      </c>
      <c r="C37" s="9">
        <v>54.295782000000003</v>
      </c>
      <c r="D37" s="9">
        <v>-130.35299599999999</v>
      </c>
      <c r="E37" s="8">
        <v>1906</v>
      </c>
      <c r="F37" s="8">
        <v>1942</v>
      </c>
      <c r="G37" s="9">
        <f t="shared" si="2"/>
        <v>19</v>
      </c>
      <c r="H37" s="8" t="s">
        <v>744</v>
      </c>
      <c r="I37" s="9">
        <v>18</v>
      </c>
      <c r="J37" s="8" t="s">
        <v>799</v>
      </c>
      <c r="K37" s="11" t="s">
        <v>809</v>
      </c>
      <c r="N37" s="15"/>
    </row>
    <row r="38" spans="1:14" x14ac:dyDescent="0.35">
      <c r="A38" s="8" t="s">
        <v>745</v>
      </c>
      <c r="B38" s="8" t="s">
        <v>453</v>
      </c>
      <c r="C38" s="4">
        <v>49.283332999999999</v>
      </c>
      <c r="D38" s="4">
        <v>-123.11666700000001</v>
      </c>
      <c r="E38" s="8">
        <v>1901</v>
      </c>
      <c r="F38" s="8">
        <v>1940</v>
      </c>
      <c r="G38" s="9">
        <f t="shared" si="2"/>
        <v>25</v>
      </c>
      <c r="H38" s="8" t="s">
        <v>746</v>
      </c>
      <c r="I38" s="9">
        <v>15</v>
      </c>
      <c r="J38" s="8" t="s">
        <v>799</v>
      </c>
      <c r="K38" s="11" t="s">
        <v>809</v>
      </c>
      <c r="N38" s="15"/>
    </row>
    <row r="39" spans="1:14" x14ac:dyDescent="0.35">
      <c r="A39" s="8" t="s">
        <v>747</v>
      </c>
      <c r="B39" s="8" t="s">
        <v>453</v>
      </c>
      <c r="C39" s="9">
        <v>48.435712000000002</v>
      </c>
      <c r="D39" s="9">
        <v>-123.423693</v>
      </c>
      <c r="E39" s="8">
        <v>1893</v>
      </c>
      <c r="F39" s="8">
        <v>1908</v>
      </c>
      <c r="G39" s="9">
        <f t="shared" si="2"/>
        <v>16</v>
      </c>
      <c r="H39" s="8" t="s">
        <v>31</v>
      </c>
      <c r="I39" s="9">
        <v>0</v>
      </c>
      <c r="J39" s="8" t="s">
        <v>799</v>
      </c>
      <c r="K39" s="11" t="s">
        <v>809</v>
      </c>
      <c r="N39" s="15"/>
    </row>
    <row r="40" spans="1:14" x14ac:dyDescent="0.35">
      <c r="A40" s="8" t="s">
        <v>219</v>
      </c>
      <c r="B40" s="8" t="s">
        <v>220</v>
      </c>
      <c r="C40" s="4">
        <v>49.178404</v>
      </c>
      <c r="D40" s="4">
        <v>-2.1102189999999998</v>
      </c>
      <c r="E40" s="8">
        <v>1832</v>
      </c>
      <c r="F40" s="8">
        <v>1950</v>
      </c>
      <c r="G40" s="9">
        <f t="shared" si="2"/>
        <v>3</v>
      </c>
      <c r="H40" s="8" t="s">
        <v>221</v>
      </c>
      <c r="I40" s="9">
        <v>116</v>
      </c>
      <c r="J40" s="8" t="s">
        <v>798</v>
      </c>
      <c r="K40" s="11" t="s">
        <v>806</v>
      </c>
      <c r="N40" s="15"/>
    </row>
    <row r="41" spans="1:14" x14ac:dyDescent="0.35">
      <c r="A41" s="8" t="s">
        <v>222</v>
      </c>
      <c r="B41" s="8" t="s">
        <v>220</v>
      </c>
      <c r="C41" s="4">
        <v>49.455216999999998</v>
      </c>
      <c r="D41" s="4">
        <v>-2.5341870000000002</v>
      </c>
      <c r="E41" s="8">
        <v>1832</v>
      </c>
      <c r="F41" s="8">
        <v>1950</v>
      </c>
      <c r="G41" s="9">
        <f t="shared" si="2"/>
        <v>5</v>
      </c>
      <c r="H41" s="8" t="s">
        <v>223</v>
      </c>
      <c r="I41" s="9">
        <v>114</v>
      </c>
      <c r="J41" s="8" t="s">
        <v>798</v>
      </c>
      <c r="K41" s="11" t="s">
        <v>806</v>
      </c>
      <c r="N41" s="15"/>
    </row>
    <row r="42" spans="1:14" x14ac:dyDescent="0.35">
      <c r="A42" s="12" t="s">
        <v>224</v>
      </c>
      <c r="B42" s="12" t="s">
        <v>220</v>
      </c>
      <c r="C42" s="4">
        <v>48.970900999999998</v>
      </c>
      <c r="D42" s="4">
        <v>-2.0618340000000002</v>
      </c>
      <c r="E42" s="8">
        <v>1888</v>
      </c>
      <c r="F42" s="8">
        <v>1888</v>
      </c>
      <c r="G42" s="9">
        <f t="shared" si="2"/>
        <v>1</v>
      </c>
      <c r="H42" s="8" t="s">
        <v>31</v>
      </c>
      <c r="I42" s="9">
        <v>0</v>
      </c>
      <c r="J42" s="8" t="s">
        <v>798</v>
      </c>
      <c r="K42" s="11" t="s">
        <v>806</v>
      </c>
      <c r="N42" s="15"/>
    </row>
    <row r="43" spans="1:14" x14ac:dyDescent="0.35">
      <c r="A43" s="8" t="s">
        <v>533</v>
      </c>
      <c r="B43" s="8" t="s">
        <v>220</v>
      </c>
      <c r="C43" s="9">
        <v>49.455092</v>
      </c>
      <c r="D43" s="9">
        <v>-2.524213</v>
      </c>
      <c r="E43" s="8">
        <v>1989</v>
      </c>
      <c r="F43" s="8">
        <v>1995</v>
      </c>
      <c r="G43" s="9">
        <f t="shared" si="2"/>
        <v>7</v>
      </c>
      <c r="H43" s="8" t="s">
        <v>31</v>
      </c>
      <c r="I43" s="9">
        <v>0</v>
      </c>
      <c r="J43" s="8" t="s">
        <v>770</v>
      </c>
      <c r="K43" s="11" t="s">
        <v>807</v>
      </c>
      <c r="N43" s="15"/>
    </row>
    <row r="44" spans="1:14" x14ac:dyDescent="0.35">
      <c r="A44" s="12" t="s">
        <v>432</v>
      </c>
      <c r="B44" s="12" t="s">
        <v>433</v>
      </c>
      <c r="C44" s="4">
        <v>-55.977581999999998</v>
      </c>
      <c r="D44" s="4">
        <v>-67.263006000000004</v>
      </c>
      <c r="E44" s="8">
        <v>1882</v>
      </c>
      <c r="F44" s="8">
        <v>1883</v>
      </c>
      <c r="G44" s="9">
        <f t="shared" si="2"/>
        <v>2</v>
      </c>
      <c r="H44" s="8" t="s">
        <v>31</v>
      </c>
      <c r="I44" s="9">
        <v>0</v>
      </c>
      <c r="J44" s="8" t="s">
        <v>798</v>
      </c>
      <c r="K44" s="11" t="s">
        <v>806</v>
      </c>
      <c r="N44" s="15"/>
    </row>
    <row r="45" spans="1:14" x14ac:dyDescent="0.35">
      <c r="A45" s="12" t="s">
        <v>395</v>
      </c>
      <c r="B45" s="12" t="s">
        <v>396</v>
      </c>
      <c r="C45" s="4">
        <v>21.479403000000001</v>
      </c>
      <c r="D45" s="4">
        <v>109.079849</v>
      </c>
      <c r="E45" s="8">
        <v>1901</v>
      </c>
      <c r="F45" s="8">
        <v>1901</v>
      </c>
      <c r="G45" s="9">
        <f t="shared" si="2"/>
        <v>1</v>
      </c>
      <c r="H45" s="8" t="s">
        <v>31</v>
      </c>
      <c r="I45" s="9">
        <v>0</v>
      </c>
      <c r="J45" s="8" t="s">
        <v>799</v>
      </c>
      <c r="K45" s="11" t="s">
        <v>806</v>
      </c>
      <c r="N45" s="15"/>
    </row>
    <row r="46" spans="1:14" x14ac:dyDescent="0.35">
      <c r="A46" s="12" t="s">
        <v>397</v>
      </c>
      <c r="B46" s="12" t="s">
        <v>396</v>
      </c>
      <c r="C46" s="4">
        <v>37.593190999999997</v>
      </c>
      <c r="D46" s="4">
        <v>121.423074</v>
      </c>
      <c r="E46" s="8">
        <v>1860</v>
      </c>
      <c r="F46" s="8">
        <v>1860</v>
      </c>
      <c r="G46" s="9">
        <f t="shared" si="2"/>
        <v>1</v>
      </c>
      <c r="H46" s="8" t="s">
        <v>31</v>
      </c>
      <c r="I46" s="9">
        <v>0</v>
      </c>
      <c r="J46" s="8" t="s">
        <v>798</v>
      </c>
      <c r="K46" s="11" t="s">
        <v>806</v>
      </c>
      <c r="N46" s="15"/>
    </row>
    <row r="47" spans="1:14" x14ac:dyDescent="0.35">
      <c r="A47" s="8" t="s">
        <v>551</v>
      </c>
      <c r="B47" s="8" t="s">
        <v>552</v>
      </c>
      <c r="C47" s="9">
        <v>54.651698000000003</v>
      </c>
      <c r="D47" s="9">
        <v>11.351777</v>
      </c>
      <c r="E47" s="8">
        <v>1955</v>
      </c>
      <c r="F47" s="8">
        <v>1980</v>
      </c>
      <c r="G47" s="9">
        <f t="shared" si="2"/>
        <v>26</v>
      </c>
      <c r="H47" s="8" t="s">
        <v>31</v>
      </c>
      <c r="I47" s="9">
        <v>0</v>
      </c>
      <c r="J47" s="8" t="s">
        <v>770</v>
      </c>
      <c r="K47" s="11" t="s">
        <v>807</v>
      </c>
      <c r="N47" s="15"/>
    </row>
    <row r="48" spans="1:14" x14ac:dyDescent="0.35">
      <c r="A48" s="8" t="s">
        <v>553</v>
      </c>
      <c r="B48" s="8" t="s">
        <v>552</v>
      </c>
      <c r="C48" s="9">
        <v>55.647815000000001</v>
      </c>
      <c r="D48" s="9">
        <v>12.551394</v>
      </c>
      <c r="E48" s="8">
        <v>1890</v>
      </c>
      <c r="F48" s="8">
        <v>1974</v>
      </c>
      <c r="G48" s="9">
        <f t="shared" ref="G48:G79" si="3">(1+(F48-E48))-I48</f>
        <v>85</v>
      </c>
      <c r="H48" s="8" t="s">
        <v>31</v>
      </c>
      <c r="I48" s="9">
        <v>0</v>
      </c>
      <c r="J48" s="8" t="s">
        <v>770</v>
      </c>
      <c r="K48" s="11" t="s">
        <v>807</v>
      </c>
      <c r="N48" s="15"/>
    </row>
    <row r="49" spans="1:14" x14ac:dyDescent="0.35">
      <c r="A49" s="8" t="s">
        <v>554</v>
      </c>
      <c r="B49" s="8" t="s">
        <v>552</v>
      </c>
      <c r="C49" s="9">
        <v>55.334479000000002</v>
      </c>
      <c r="D49" s="9">
        <v>11.134994000000001</v>
      </c>
      <c r="E49" s="8">
        <v>1890</v>
      </c>
      <c r="F49" s="8">
        <v>1972</v>
      </c>
      <c r="G49" s="9">
        <f t="shared" si="3"/>
        <v>83</v>
      </c>
      <c r="H49" s="8" t="s">
        <v>31</v>
      </c>
      <c r="I49" s="9">
        <v>0</v>
      </c>
      <c r="J49" s="8" t="s">
        <v>770</v>
      </c>
      <c r="K49" s="11" t="s">
        <v>807</v>
      </c>
      <c r="N49" s="15"/>
    </row>
    <row r="50" spans="1:14" x14ac:dyDescent="0.35">
      <c r="A50" s="8" t="s">
        <v>555</v>
      </c>
      <c r="B50" s="8" t="s">
        <v>552</v>
      </c>
      <c r="C50" s="9">
        <v>55.287700999999998</v>
      </c>
      <c r="D50" s="9">
        <v>10.826279</v>
      </c>
      <c r="E50" s="8">
        <v>1890</v>
      </c>
      <c r="F50" s="8">
        <v>1971</v>
      </c>
      <c r="G50" s="9">
        <f t="shared" si="3"/>
        <v>82</v>
      </c>
      <c r="H50" s="8" t="s">
        <v>31</v>
      </c>
      <c r="I50" s="9">
        <v>0</v>
      </c>
      <c r="J50" s="8" t="s">
        <v>770</v>
      </c>
      <c r="K50" s="11" t="s">
        <v>807</v>
      </c>
      <c r="N50" s="15"/>
    </row>
    <row r="51" spans="1:14" x14ac:dyDescent="0.35">
      <c r="A51" s="8" t="s">
        <v>556</v>
      </c>
      <c r="B51" s="8" t="s">
        <v>552</v>
      </c>
      <c r="C51" s="9">
        <v>54.932248000000001</v>
      </c>
      <c r="D51" s="9">
        <v>10.044605000000001</v>
      </c>
      <c r="E51" s="8">
        <v>1923</v>
      </c>
      <c r="F51" s="8">
        <v>1969</v>
      </c>
      <c r="G51" s="9">
        <f t="shared" si="3"/>
        <v>47</v>
      </c>
      <c r="H51" s="8" t="s">
        <v>31</v>
      </c>
      <c r="I51" s="9">
        <v>0</v>
      </c>
      <c r="J51" s="8" t="s">
        <v>770</v>
      </c>
      <c r="K51" s="11" t="s">
        <v>807</v>
      </c>
      <c r="N51" s="15"/>
    </row>
    <row r="52" spans="1:14" x14ac:dyDescent="0.35">
      <c r="A52" s="8" t="s">
        <v>557</v>
      </c>
      <c r="B52" s="8" t="s">
        <v>552</v>
      </c>
      <c r="C52" s="9">
        <v>55.558194</v>
      </c>
      <c r="D52" s="9">
        <v>9.7360830000000007</v>
      </c>
      <c r="E52" s="8">
        <v>1890</v>
      </c>
      <c r="F52" s="8">
        <v>1972</v>
      </c>
      <c r="G52" s="9">
        <f t="shared" si="3"/>
        <v>83</v>
      </c>
      <c r="H52" s="8" t="s">
        <v>31</v>
      </c>
      <c r="I52" s="9">
        <v>0</v>
      </c>
      <c r="J52" s="8" t="s">
        <v>770</v>
      </c>
      <c r="K52" s="11" t="s">
        <v>807</v>
      </c>
      <c r="N52" s="15"/>
    </row>
    <row r="53" spans="1:14" x14ac:dyDescent="0.35">
      <c r="A53" s="8" t="s">
        <v>558</v>
      </c>
      <c r="B53" s="8" t="s">
        <v>552</v>
      </c>
      <c r="C53" s="9">
        <v>56.148969000000001</v>
      </c>
      <c r="D53" s="9">
        <v>10.213695</v>
      </c>
      <c r="E53" s="8">
        <v>1890</v>
      </c>
      <c r="F53" s="8">
        <v>1970</v>
      </c>
      <c r="G53" s="9">
        <f t="shared" si="3"/>
        <v>81</v>
      </c>
      <c r="H53" s="8" t="s">
        <v>31</v>
      </c>
      <c r="I53" s="9">
        <v>0</v>
      </c>
      <c r="J53" s="8" t="s">
        <v>770</v>
      </c>
      <c r="K53" s="11" t="s">
        <v>807</v>
      </c>
      <c r="N53" s="15"/>
    </row>
    <row r="54" spans="1:14" x14ac:dyDescent="0.35">
      <c r="A54" s="8" t="s">
        <v>559</v>
      </c>
      <c r="B54" s="8" t="s">
        <v>552</v>
      </c>
      <c r="C54" s="9">
        <v>57.434671000000002</v>
      </c>
      <c r="D54" s="9">
        <v>10.545945</v>
      </c>
      <c r="E54" s="8">
        <v>1890</v>
      </c>
      <c r="F54" s="8">
        <v>1970</v>
      </c>
      <c r="G54" s="9">
        <f t="shared" si="3"/>
        <v>81</v>
      </c>
      <c r="H54" s="8" t="s">
        <v>31</v>
      </c>
      <c r="I54" s="9">
        <v>0</v>
      </c>
      <c r="J54" s="8" t="s">
        <v>770</v>
      </c>
      <c r="K54" s="11" t="s">
        <v>807</v>
      </c>
      <c r="N54" s="15"/>
    </row>
    <row r="55" spans="1:14" x14ac:dyDescent="0.35">
      <c r="A55" s="8" t="s">
        <v>560</v>
      </c>
      <c r="B55" s="8" t="s">
        <v>552</v>
      </c>
      <c r="C55" s="4">
        <v>57.595556000000002</v>
      </c>
      <c r="D55" s="4">
        <v>9.963889</v>
      </c>
      <c r="E55" s="8">
        <v>1890</v>
      </c>
      <c r="F55" s="8">
        <v>1891</v>
      </c>
      <c r="G55" s="9">
        <f t="shared" si="3"/>
        <v>2</v>
      </c>
      <c r="H55" s="8" t="s">
        <v>31</v>
      </c>
      <c r="I55" s="9">
        <v>0</v>
      </c>
      <c r="J55" s="8" t="s">
        <v>770</v>
      </c>
      <c r="K55" s="11" t="s">
        <v>807</v>
      </c>
      <c r="N55" s="15"/>
    </row>
    <row r="56" spans="1:14" x14ac:dyDescent="0.35">
      <c r="A56" s="8" t="s">
        <v>561</v>
      </c>
      <c r="B56" s="8" t="s">
        <v>552</v>
      </c>
      <c r="C56" s="4">
        <v>57.118889000000003</v>
      </c>
      <c r="D56" s="4">
        <v>8.5955560000000002</v>
      </c>
      <c r="E56" s="8">
        <v>1950</v>
      </c>
      <c r="F56" s="8">
        <v>1952</v>
      </c>
      <c r="G56" s="9">
        <f t="shared" si="3"/>
        <v>3</v>
      </c>
      <c r="H56" s="8" t="s">
        <v>31</v>
      </c>
      <c r="I56" s="9">
        <v>0</v>
      </c>
      <c r="J56" s="8" t="s">
        <v>770</v>
      </c>
      <c r="K56" s="11" t="s">
        <v>807</v>
      </c>
      <c r="N56" s="15"/>
    </row>
    <row r="57" spans="1:14" x14ac:dyDescent="0.35">
      <c r="A57" s="12" t="s">
        <v>244</v>
      </c>
      <c r="B57" s="12" t="s">
        <v>245</v>
      </c>
      <c r="C57" s="5">
        <v>11.6</v>
      </c>
      <c r="D57" s="5">
        <v>43.15</v>
      </c>
      <c r="E57" s="8">
        <v>1897</v>
      </c>
      <c r="F57" s="8">
        <v>1928</v>
      </c>
      <c r="G57" s="9">
        <f t="shared" si="3"/>
        <v>3</v>
      </c>
      <c r="H57" s="8" t="s">
        <v>246</v>
      </c>
      <c r="I57" s="9">
        <v>29</v>
      </c>
      <c r="J57" s="8" t="s">
        <v>798</v>
      </c>
      <c r="K57" s="11" t="s">
        <v>806</v>
      </c>
      <c r="N57" s="15"/>
    </row>
    <row r="58" spans="1:14" x14ac:dyDescent="0.35">
      <c r="A58" s="12" t="s">
        <v>244</v>
      </c>
      <c r="B58" s="12" t="s">
        <v>245</v>
      </c>
      <c r="C58" s="5">
        <v>11.6</v>
      </c>
      <c r="D58" s="5">
        <v>43.15</v>
      </c>
      <c r="E58" s="8">
        <v>1899</v>
      </c>
      <c r="F58" s="8">
        <v>1899</v>
      </c>
      <c r="G58" s="9">
        <f t="shared" si="3"/>
        <v>1</v>
      </c>
      <c r="H58" s="8" t="s">
        <v>31</v>
      </c>
      <c r="I58" s="9">
        <v>0</v>
      </c>
      <c r="J58" s="8" t="s">
        <v>799</v>
      </c>
      <c r="K58" s="11" t="s">
        <v>806</v>
      </c>
      <c r="N58" s="15"/>
    </row>
    <row r="59" spans="1:14" x14ac:dyDescent="0.35">
      <c r="A59" s="8" t="s">
        <v>402</v>
      </c>
      <c r="B59" s="8" t="s">
        <v>403</v>
      </c>
      <c r="C59" s="4">
        <v>-16.778979</v>
      </c>
      <c r="D59" s="4">
        <f>215.39147-360</f>
        <v>-144.60853</v>
      </c>
      <c r="E59" s="8">
        <v>1953</v>
      </c>
      <c r="F59" s="8">
        <v>1956</v>
      </c>
      <c r="G59" s="9">
        <f t="shared" si="3"/>
        <v>4</v>
      </c>
      <c r="H59" s="8" t="s">
        <v>31</v>
      </c>
      <c r="I59" s="9">
        <v>0</v>
      </c>
      <c r="J59" s="8" t="s">
        <v>798</v>
      </c>
      <c r="K59" s="11" t="s">
        <v>806</v>
      </c>
      <c r="N59" s="15"/>
    </row>
    <row r="60" spans="1:14" x14ac:dyDescent="0.35">
      <c r="A60" s="12" t="s">
        <v>248</v>
      </c>
      <c r="B60" s="12" t="s">
        <v>249</v>
      </c>
      <c r="C60" s="4">
        <v>31.191102000000001</v>
      </c>
      <c r="D60" s="4">
        <v>32.339058000000001</v>
      </c>
      <c r="E60" s="8">
        <v>1891</v>
      </c>
      <c r="F60" s="8">
        <v>1951</v>
      </c>
      <c r="G60" s="9">
        <f t="shared" si="3"/>
        <v>61</v>
      </c>
      <c r="H60" s="8" t="s">
        <v>31</v>
      </c>
      <c r="I60" s="9">
        <v>0</v>
      </c>
      <c r="J60" s="8" t="s">
        <v>798</v>
      </c>
      <c r="K60" s="11" t="s">
        <v>806</v>
      </c>
      <c r="N60" s="15"/>
    </row>
    <row r="61" spans="1:14" x14ac:dyDescent="0.35">
      <c r="A61" s="8" t="s">
        <v>569</v>
      </c>
      <c r="B61" s="8" t="s">
        <v>570</v>
      </c>
      <c r="C61" s="9">
        <v>7.416944</v>
      </c>
      <c r="D61" s="9">
        <v>151.78194400000001</v>
      </c>
      <c r="E61" s="8">
        <v>1948</v>
      </c>
      <c r="F61" s="8">
        <v>1949</v>
      </c>
      <c r="G61" s="9">
        <f t="shared" si="3"/>
        <v>2</v>
      </c>
      <c r="H61" s="8" t="s">
        <v>31</v>
      </c>
      <c r="I61" s="9">
        <v>0</v>
      </c>
      <c r="J61" s="8" t="s">
        <v>770</v>
      </c>
      <c r="K61" s="11" t="s">
        <v>807</v>
      </c>
      <c r="N61" s="15"/>
    </row>
    <row r="62" spans="1:14" x14ac:dyDescent="0.35">
      <c r="A62" s="12" t="s">
        <v>32</v>
      </c>
      <c r="B62" s="12" t="s">
        <v>33</v>
      </c>
      <c r="C62" s="4">
        <v>43.36</v>
      </c>
      <c r="D62" s="4">
        <v>5.0999999999999996</v>
      </c>
      <c r="E62" s="10">
        <v>1905</v>
      </c>
      <c r="F62" s="10">
        <v>1978</v>
      </c>
      <c r="G62" s="9">
        <f t="shared" si="3"/>
        <v>74</v>
      </c>
      <c r="H62" s="8" t="s">
        <v>31</v>
      </c>
      <c r="I62" s="9">
        <v>0</v>
      </c>
      <c r="J62" s="8" t="s">
        <v>799</v>
      </c>
      <c r="K62" s="11" t="s">
        <v>805</v>
      </c>
      <c r="N62" s="15"/>
    </row>
    <row r="63" spans="1:14" x14ac:dyDescent="0.35">
      <c r="A63" s="12" t="s">
        <v>34</v>
      </c>
      <c r="B63" s="12" t="s">
        <v>33</v>
      </c>
      <c r="C63" s="4">
        <v>51.072113000000002</v>
      </c>
      <c r="D63" s="4">
        <v>2.483711</v>
      </c>
      <c r="E63" s="8">
        <v>1932</v>
      </c>
      <c r="F63" s="8">
        <v>1954</v>
      </c>
      <c r="G63" s="9">
        <f t="shared" si="3"/>
        <v>3</v>
      </c>
      <c r="H63" s="8" t="s">
        <v>35</v>
      </c>
      <c r="I63" s="9">
        <v>20</v>
      </c>
      <c r="J63" s="8" t="s">
        <v>798</v>
      </c>
      <c r="K63" s="11" t="s">
        <v>806</v>
      </c>
      <c r="N63" s="15"/>
    </row>
    <row r="64" spans="1:14" x14ac:dyDescent="0.35">
      <c r="A64" s="12" t="s">
        <v>36</v>
      </c>
      <c r="B64" s="12" t="s">
        <v>33</v>
      </c>
      <c r="C64" s="4">
        <v>51.035259000000003</v>
      </c>
      <c r="D64" s="4">
        <v>2.369885</v>
      </c>
      <c r="E64" s="8">
        <v>1802</v>
      </c>
      <c r="F64" s="8">
        <v>1985</v>
      </c>
      <c r="G64" s="9">
        <f t="shared" si="3"/>
        <v>49</v>
      </c>
      <c r="H64" s="8" t="s">
        <v>37</v>
      </c>
      <c r="I64" s="9">
        <f>60+32+34+9</f>
        <v>135</v>
      </c>
      <c r="J64" s="8" t="s">
        <v>798</v>
      </c>
      <c r="K64" s="11" t="s">
        <v>806</v>
      </c>
      <c r="N64" s="15"/>
    </row>
    <row r="65" spans="1:14" x14ac:dyDescent="0.35">
      <c r="A65" s="12" t="s">
        <v>38</v>
      </c>
      <c r="B65" s="12" t="s">
        <v>33</v>
      </c>
      <c r="C65" s="4">
        <v>49.288231000000003</v>
      </c>
      <c r="D65" s="4">
        <v>-0.19841200000000001</v>
      </c>
      <c r="E65" s="8">
        <v>1834</v>
      </c>
      <c r="F65" s="8">
        <v>1834</v>
      </c>
      <c r="G65" s="9">
        <f t="shared" si="3"/>
        <v>1</v>
      </c>
      <c r="H65" s="8" t="s">
        <v>31</v>
      </c>
      <c r="I65" s="9">
        <v>0</v>
      </c>
      <c r="J65" s="8" t="s">
        <v>770</v>
      </c>
      <c r="K65" s="11" t="s">
        <v>806</v>
      </c>
      <c r="N65" s="15"/>
    </row>
    <row r="66" spans="1:14" x14ac:dyDescent="0.35">
      <c r="A66" s="12" t="s">
        <v>39</v>
      </c>
      <c r="B66" s="12" t="s">
        <v>33</v>
      </c>
      <c r="C66" s="9">
        <v>50.728225000000002</v>
      </c>
      <c r="D66" s="9">
        <v>1.5948340000000001</v>
      </c>
      <c r="E66" s="8">
        <v>1876</v>
      </c>
      <c r="F66" s="8">
        <v>1936</v>
      </c>
      <c r="G66" s="9">
        <f t="shared" si="3"/>
        <v>7</v>
      </c>
      <c r="H66" s="8" t="s">
        <v>40</v>
      </c>
      <c r="I66" s="9">
        <f>32+19+3</f>
        <v>54</v>
      </c>
      <c r="J66" s="8" t="s">
        <v>798</v>
      </c>
      <c r="K66" s="11" t="s">
        <v>806</v>
      </c>
      <c r="N66" s="15"/>
    </row>
    <row r="67" spans="1:14" x14ac:dyDescent="0.35">
      <c r="A67" s="12" t="s">
        <v>41</v>
      </c>
      <c r="B67" s="12" t="s">
        <v>33</v>
      </c>
      <c r="C67" s="9">
        <v>50.961742999999998</v>
      </c>
      <c r="D67" s="9">
        <v>1.8494870000000001</v>
      </c>
      <c r="E67" s="8">
        <v>1911</v>
      </c>
      <c r="F67" s="8">
        <v>1954</v>
      </c>
      <c r="G67" s="9">
        <f t="shared" si="3"/>
        <v>2</v>
      </c>
      <c r="H67" s="8" t="s">
        <v>42</v>
      </c>
      <c r="I67" s="9">
        <v>42</v>
      </c>
      <c r="J67" s="8" t="s">
        <v>798</v>
      </c>
      <c r="K67" s="11" t="s">
        <v>806</v>
      </c>
      <c r="N67" s="15"/>
    </row>
    <row r="68" spans="1:14" x14ac:dyDescent="0.35">
      <c r="A68" s="12" t="s">
        <v>43</v>
      </c>
      <c r="B68" s="12" t="s">
        <v>33</v>
      </c>
      <c r="C68" s="4">
        <v>50.536560999999999</v>
      </c>
      <c r="D68" s="4">
        <v>1.5933679999999999</v>
      </c>
      <c r="E68" s="8">
        <v>1878</v>
      </c>
      <c r="F68" s="8">
        <v>1878</v>
      </c>
      <c r="G68" s="9">
        <f t="shared" si="3"/>
        <v>1</v>
      </c>
      <c r="H68" s="8" t="s">
        <v>31</v>
      </c>
      <c r="I68" s="9">
        <v>0</v>
      </c>
      <c r="J68" s="8" t="s">
        <v>798</v>
      </c>
      <c r="K68" s="11" t="s">
        <v>806</v>
      </c>
      <c r="N68" s="15"/>
    </row>
    <row r="69" spans="1:14" x14ac:dyDescent="0.35">
      <c r="A69" s="12" t="s">
        <v>44</v>
      </c>
      <c r="B69" s="12" t="s">
        <v>33</v>
      </c>
      <c r="C69" s="4">
        <v>49.933411999999997</v>
      </c>
      <c r="D69" s="4">
        <v>1.0883830000000001</v>
      </c>
      <c r="E69" s="8">
        <v>1937</v>
      </c>
      <c r="F69" s="8">
        <v>1937</v>
      </c>
      <c r="G69" s="9">
        <f t="shared" si="3"/>
        <v>1</v>
      </c>
      <c r="H69" s="8" t="s">
        <v>31</v>
      </c>
      <c r="I69" s="9">
        <v>0</v>
      </c>
      <c r="J69" s="8" t="s">
        <v>799</v>
      </c>
      <c r="K69" s="11" t="s">
        <v>806</v>
      </c>
      <c r="N69" s="15"/>
    </row>
    <row r="70" spans="1:14" x14ac:dyDescent="0.35">
      <c r="A70" s="12" t="s">
        <v>44</v>
      </c>
      <c r="B70" s="12" t="s">
        <v>33</v>
      </c>
      <c r="C70" s="4">
        <v>49.933411999999997</v>
      </c>
      <c r="D70" s="4">
        <v>1.0883830000000001</v>
      </c>
      <c r="E70" s="8">
        <v>1834</v>
      </c>
      <c r="F70" s="8">
        <v>1978</v>
      </c>
      <c r="G70" s="9">
        <f t="shared" si="3"/>
        <v>35</v>
      </c>
      <c r="H70" s="8" t="s">
        <v>45</v>
      </c>
      <c r="I70" s="9">
        <f>3+13+22+3+54+15</f>
        <v>110</v>
      </c>
      <c r="J70" s="8" t="s">
        <v>798</v>
      </c>
      <c r="K70" s="11" t="s">
        <v>806</v>
      </c>
      <c r="N70" s="15"/>
    </row>
    <row r="71" spans="1:14" x14ac:dyDescent="0.35">
      <c r="A71" s="12" t="s">
        <v>46</v>
      </c>
      <c r="B71" s="12" t="s">
        <v>33</v>
      </c>
      <c r="C71" s="4">
        <v>50.060119</v>
      </c>
      <c r="D71" s="4">
        <v>1.377332</v>
      </c>
      <c r="E71" s="8">
        <v>1839</v>
      </c>
      <c r="F71" s="8">
        <v>1896</v>
      </c>
      <c r="G71" s="9">
        <f t="shared" si="3"/>
        <v>8</v>
      </c>
      <c r="H71" s="8" t="s">
        <v>47</v>
      </c>
      <c r="I71" s="9">
        <f>38+12</f>
        <v>50</v>
      </c>
      <c r="J71" s="8" t="s">
        <v>798</v>
      </c>
      <c r="K71" s="11" t="s">
        <v>806</v>
      </c>
      <c r="N71" s="15"/>
    </row>
    <row r="72" spans="1:14" x14ac:dyDescent="0.35">
      <c r="A72" s="12" t="s">
        <v>48</v>
      </c>
      <c r="B72" s="12" t="s">
        <v>33</v>
      </c>
      <c r="C72" s="4">
        <v>49.397801000000001</v>
      </c>
      <c r="D72" s="4">
        <v>-0.98941100000000004</v>
      </c>
      <c r="E72" s="8">
        <v>1869</v>
      </c>
      <c r="F72" s="8">
        <v>1869</v>
      </c>
      <c r="G72" s="9">
        <f t="shared" si="3"/>
        <v>1</v>
      </c>
      <c r="H72" s="8" t="s">
        <v>31</v>
      </c>
      <c r="I72" s="9">
        <v>0</v>
      </c>
      <c r="J72" s="8" t="s">
        <v>770</v>
      </c>
      <c r="K72" s="11" t="s">
        <v>806</v>
      </c>
      <c r="N72" s="15"/>
    </row>
    <row r="73" spans="1:14" x14ac:dyDescent="0.35">
      <c r="A73" s="12" t="s">
        <v>49</v>
      </c>
      <c r="B73" s="12" t="s">
        <v>33</v>
      </c>
      <c r="C73" s="4">
        <v>49.873063999999999</v>
      </c>
      <c r="D73" s="4">
        <v>0.71012699999999995</v>
      </c>
      <c r="E73" s="8">
        <v>1837</v>
      </c>
      <c r="F73" s="8">
        <v>1878</v>
      </c>
      <c r="G73" s="9">
        <f t="shared" si="3"/>
        <v>5</v>
      </c>
      <c r="H73" s="8" t="s">
        <v>50</v>
      </c>
      <c r="I73" s="9">
        <v>37</v>
      </c>
      <c r="J73" s="8" t="s">
        <v>798</v>
      </c>
      <c r="K73" s="11" t="s">
        <v>806</v>
      </c>
      <c r="N73" s="15"/>
    </row>
    <row r="74" spans="1:14" x14ac:dyDescent="0.35">
      <c r="A74" s="12" t="s">
        <v>51</v>
      </c>
      <c r="B74" s="12" t="s">
        <v>33</v>
      </c>
      <c r="C74" s="4">
        <v>49.762946999999997</v>
      </c>
      <c r="D74" s="4">
        <v>0.36929400000000001</v>
      </c>
      <c r="E74" s="8">
        <v>1834</v>
      </c>
      <c r="F74" s="8">
        <v>1850</v>
      </c>
      <c r="G74" s="9">
        <f t="shared" si="3"/>
        <v>11</v>
      </c>
      <c r="H74" s="8" t="s">
        <v>52</v>
      </c>
      <c r="I74" s="9">
        <v>6</v>
      </c>
      <c r="J74" s="8" t="s">
        <v>799</v>
      </c>
      <c r="K74" s="11" t="s">
        <v>806</v>
      </c>
      <c r="N74" s="15"/>
    </row>
    <row r="75" spans="1:14" x14ac:dyDescent="0.35">
      <c r="A75" s="12" t="s">
        <v>51</v>
      </c>
      <c r="B75" s="12" t="s">
        <v>33</v>
      </c>
      <c r="C75" s="4">
        <v>49.762946999999997</v>
      </c>
      <c r="D75" s="4">
        <v>0.36929400000000001</v>
      </c>
      <c r="E75" s="8">
        <v>1908</v>
      </c>
      <c r="F75" s="8">
        <v>1950</v>
      </c>
      <c r="G75" s="9">
        <f t="shared" si="3"/>
        <v>3</v>
      </c>
      <c r="H75" s="8" t="s">
        <v>53</v>
      </c>
      <c r="I75" s="9">
        <v>40</v>
      </c>
      <c r="J75" s="8" t="s">
        <v>798</v>
      </c>
      <c r="K75" s="11" t="s">
        <v>806</v>
      </c>
      <c r="N75" s="15"/>
    </row>
    <row r="76" spans="1:14" x14ac:dyDescent="0.35">
      <c r="A76" s="12" t="s">
        <v>54</v>
      </c>
      <c r="B76" s="12" t="s">
        <v>33</v>
      </c>
      <c r="C76" s="4">
        <v>49.502561999999998</v>
      </c>
      <c r="D76" s="4">
        <v>8.2189999999999999E-2</v>
      </c>
      <c r="E76" s="8">
        <v>1856</v>
      </c>
      <c r="F76" s="8">
        <v>1869</v>
      </c>
      <c r="G76" s="9">
        <f t="shared" si="3"/>
        <v>14</v>
      </c>
      <c r="H76" s="8" t="s">
        <v>31</v>
      </c>
      <c r="I76" s="9">
        <v>0</v>
      </c>
      <c r="J76" s="8" t="s">
        <v>799</v>
      </c>
      <c r="K76" s="11" t="s">
        <v>806</v>
      </c>
      <c r="N76" s="15"/>
    </row>
    <row r="77" spans="1:14" x14ac:dyDescent="0.35">
      <c r="A77" s="12" t="s">
        <v>55</v>
      </c>
      <c r="B77" s="12" t="s">
        <v>33</v>
      </c>
      <c r="C77" s="4">
        <v>49.486218000000001</v>
      </c>
      <c r="D77" s="4">
        <v>0.117259</v>
      </c>
      <c r="E77" s="8">
        <v>1701</v>
      </c>
      <c r="F77" s="8">
        <v>1962</v>
      </c>
      <c r="G77" s="9">
        <f t="shared" si="3"/>
        <v>73</v>
      </c>
      <c r="H77" s="8" t="s">
        <v>56</v>
      </c>
      <c r="I77" s="9">
        <v>189</v>
      </c>
      <c r="J77" s="8" t="s">
        <v>798</v>
      </c>
      <c r="K77" s="11" t="s">
        <v>806</v>
      </c>
      <c r="N77" s="15"/>
    </row>
    <row r="78" spans="1:14" x14ac:dyDescent="0.35">
      <c r="A78" s="12" t="s">
        <v>55</v>
      </c>
      <c r="B78" s="12" t="s">
        <v>33</v>
      </c>
      <c r="C78" s="4">
        <v>49.486218000000001</v>
      </c>
      <c r="D78" s="4">
        <v>0.117259</v>
      </c>
      <c r="E78" s="8">
        <v>1900</v>
      </c>
      <c r="F78" s="8">
        <v>1920</v>
      </c>
      <c r="G78" s="9">
        <f t="shared" si="3"/>
        <v>21</v>
      </c>
      <c r="H78" s="8" t="s">
        <v>31</v>
      </c>
      <c r="I78" s="9">
        <v>0</v>
      </c>
      <c r="J78" s="8" t="s">
        <v>799</v>
      </c>
      <c r="K78" s="11" t="s">
        <v>806</v>
      </c>
      <c r="N78" s="15"/>
    </row>
    <row r="79" spans="1:14" x14ac:dyDescent="0.35">
      <c r="A79" s="12" t="s">
        <v>817</v>
      </c>
      <c r="B79" s="12" t="s">
        <v>33</v>
      </c>
      <c r="C79" s="4">
        <v>49.484161999999998</v>
      </c>
      <c r="D79" s="4">
        <v>0.102752</v>
      </c>
      <c r="E79" s="8">
        <v>1956</v>
      </c>
      <c r="F79" s="8">
        <v>1976</v>
      </c>
      <c r="G79" s="9">
        <f t="shared" si="3"/>
        <v>21</v>
      </c>
      <c r="H79" s="8" t="s">
        <v>31</v>
      </c>
      <c r="I79" s="9">
        <v>0</v>
      </c>
      <c r="J79" s="8" t="s">
        <v>798</v>
      </c>
      <c r="K79" s="11" t="s">
        <v>806</v>
      </c>
      <c r="N79" s="15"/>
    </row>
    <row r="80" spans="1:14" x14ac:dyDescent="0.35">
      <c r="A80" s="12" t="s">
        <v>818</v>
      </c>
      <c r="B80" s="12" t="s">
        <v>33</v>
      </c>
      <c r="C80" s="4">
        <v>49.483111000000001</v>
      </c>
      <c r="D80" s="4">
        <v>0.116436</v>
      </c>
      <c r="E80" s="8">
        <v>1974</v>
      </c>
      <c r="F80" s="8">
        <v>1982</v>
      </c>
      <c r="G80" s="9">
        <f t="shared" ref="G80:G111" si="4">(1+(F80-E80))-I80</f>
        <v>9</v>
      </c>
      <c r="H80" s="8" t="s">
        <v>31</v>
      </c>
      <c r="I80" s="9">
        <v>0</v>
      </c>
      <c r="J80" s="8" t="s">
        <v>798</v>
      </c>
      <c r="K80" s="11" t="s">
        <v>806</v>
      </c>
      <c r="N80" s="15"/>
    </row>
    <row r="81" spans="1:14" x14ac:dyDescent="0.35">
      <c r="A81" s="12" t="s">
        <v>57</v>
      </c>
      <c r="B81" s="12" t="s">
        <v>33</v>
      </c>
      <c r="C81" s="4">
        <v>49.638776</v>
      </c>
      <c r="D81" s="4">
        <v>-1.6211370000000001</v>
      </c>
      <c r="E81" s="8">
        <v>1913</v>
      </c>
      <c r="F81" s="8">
        <v>1913</v>
      </c>
      <c r="G81" s="9">
        <f t="shared" si="4"/>
        <v>1</v>
      </c>
      <c r="H81" s="8" t="s">
        <v>31</v>
      </c>
      <c r="I81" s="9">
        <v>0</v>
      </c>
      <c r="J81" s="8" t="s">
        <v>798</v>
      </c>
      <c r="K81" s="11" t="s">
        <v>806</v>
      </c>
      <c r="N81" s="15"/>
    </row>
    <row r="82" spans="1:14" x14ac:dyDescent="0.35">
      <c r="A82" s="12" t="s">
        <v>58</v>
      </c>
      <c r="B82" s="12" t="s">
        <v>33</v>
      </c>
      <c r="C82" s="4">
        <v>49.473843000000002</v>
      </c>
      <c r="D82" s="4">
        <v>0.52614899999999998</v>
      </c>
      <c r="E82" s="8">
        <v>1852</v>
      </c>
      <c r="F82" s="8">
        <v>1860</v>
      </c>
      <c r="G82" s="9">
        <f t="shared" si="4"/>
        <v>8</v>
      </c>
      <c r="H82" s="8">
        <v>1853</v>
      </c>
      <c r="I82" s="9">
        <v>1</v>
      </c>
      <c r="J82" s="8" t="s">
        <v>770</v>
      </c>
      <c r="K82" s="11" t="s">
        <v>806</v>
      </c>
      <c r="N82" s="15"/>
    </row>
    <row r="83" spans="1:14" x14ac:dyDescent="0.35">
      <c r="A83" s="12" t="s">
        <v>59</v>
      </c>
      <c r="B83" s="12" t="s">
        <v>33</v>
      </c>
      <c r="C83" s="4">
        <v>49.423042000000002</v>
      </c>
      <c r="D83" s="4">
        <v>0.23505999999999999</v>
      </c>
      <c r="E83" s="8">
        <v>1869</v>
      </c>
      <c r="F83" s="8">
        <v>1869</v>
      </c>
      <c r="G83" s="9">
        <f t="shared" si="4"/>
        <v>1</v>
      </c>
      <c r="H83" s="8" t="s">
        <v>31</v>
      </c>
      <c r="I83" s="9">
        <v>0</v>
      </c>
      <c r="J83" s="8" t="s">
        <v>770</v>
      </c>
      <c r="K83" s="11" t="s">
        <v>806</v>
      </c>
      <c r="N83" s="15"/>
    </row>
    <row r="84" spans="1:14" x14ac:dyDescent="0.35">
      <c r="A84" s="12" t="s">
        <v>59</v>
      </c>
      <c r="B84" s="12" t="s">
        <v>33</v>
      </c>
      <c r="C84" s="4">
        <v>49.423042000000002</v>
      </c>
      <c r="D84" s="4">
        <v>0.23505999999999999</v>
      </c>
      <c r="E84" s="8">
        <v>1875</v>
      </c>
      <c r="F84" s="8">
        <v>1960</v>
      </c>
      <c r="G84" s="9">
        <f t="shared" si="4"/>
        <v>3</v>
      </c>
      <c r="H84" s="8" t="s">
        <v>60</v>
      </c>
      <c r="I84" s="9">
        <v>83</v>
      </c>
      <c r="J84" s="8" t="s">
        <v>798</v>
      </c>
      <c r="K84" s="11" t="s">
        <v>806</v>
      </c>
      <c r="N84" s="15"/>
    </row>
    <row r="85" spans="1:14" x14ac:dyDescent="0.35">
      <c r="A85" s="12" t="s">
        <v>61</v>
      </c>
      <c r="B85" s="12" t="s">
        <v>33</v>
      </c>
      <c r="C85" s="4">
        <v>49.341482999999997</v>
      </c>
      <c r="D85" s="4">
        <v>-0.62759200000000004</v>
      </c>
      <c r="E85" s="8">
        <v>1949</v>
      </c>
      <c r="F85" s="8">
        <v>1951</v>
      </c>
      <c r="G85" s="9">
        <f t="shared" si="4"/>
        <v>3</v>
      </c>
      <c r="H85" s="8" t="s">
        <v>31</v>
      </c>
      <c r="I85" s="9">
        <v>0</v>
      </c>
      <c r="J85" s="8" t="s">
        <v>798</v>
      </c>
      <c r="K85" s="11" t="s">
        <v>806</v>
      </c>
      <c r="N85" s="15"/>
    </row>
    <row r="86" spans="1:14" x14ac:dyDescent="0.35">
      <c r="A86" s="12" t="s">
        <v>62</v>
      </c>
      <c r="B86" s="12" t="s">
        <v>33</v>
      </c>
      <c r="C86" s="4">
        <v>49.67212</v>
      </c>
      <c r="D86" s="4">
        <v>-1.2594669999999999</v>
      </c>
      <c r="E86" s="8">
        <v>1876</v>
      </c>
      <c r="F86" s="8">
        <v>1876</v>
      </c>
      <c r="G86" s="9">
        <f t="shared" si="4"/>
        <v>1</v>
      </c>
      <c r="H86" s="8" t="s">
        <v>31</v>
      </c>
      <c r="I86" s="9">
        <v>0</v>
      </c>
      <c r="J86" s="8" t="s">
        <v>770</v>
      </c>
      <c r="K86" s="11" t="s">
        <v>806</v>
      </c>
      <c r="N86" s="15"/>
    </row>
    <row r="87" spans="1:14" x14ac:dyDescent="0.35">
      <c r="A87" s="12" t="s">
        <v>62</v>
      </c>
      <c r="B87" s="12" t="s">
        <v>33</v>
      </c>
      <c r="C87" s="4">
        <v>49.67212</v>
      </c>
      <c r="D87" s="4">
        <v>-1.2594669999999999</v>
      </c>
      <c r="E87" s="8">
        <v>1933</v>
      </c>
      <c r="F87" s="8">
        <v>1933</v>
      </c>
      <c r="G87" s="9">
        <f t="shared" si="4"/>
        <v>1</v>
      </c>
      <c r="H87" s="8" t="s">
        <v>31</v>
      </c>
      <c r="I87" s="9">
        <v>0</v>
      </c>
      <c r="J87" s="8" t="s">
        <v>799</v>
      </c>
      <c r="K87" s="11" t="s">
        <v>806</v>
      </c>
      <c r="N87" s="15"/>
    </row>
    <row r="88" spans="1:14" x14ac:dyDescent="0.35">
      <c r="A88" s="12" t="s">
        <v>63</v>
      </c>
      <c r="B88" s="12" t="s">
        <v>33</v>
      </c>
      <c r="C88" s="4">
        <v>49.586570000000002</v>
      </c>
      <c r="D88" s="4">
        <v>-1.2616860000000001</v>
      </c>
      <c r="E88" s="8">
        <v>1949</v>
      </c>
      <c r="F88" s="8">
        <v>1951</v>
      </c>
      <c r="G88" s="9">
        <f t="shared" si="4"/>
        <v>3</v>
      </c>
      <c r="H88" s="8" t="s">
        <v>31</v>
      </c>
      <c r="I88" s="9">
        <v>0</v>
      </c>
      <c r="J88" s="8" t="s">
        <v>798</v>
      </c>
      <c r="K88" s="11" t="s">
        <v>806</v>
      </c>
      <c r="N88" s="15"/>
    </row>
    <row r="89" spans="1:14" x14ac:dyDescent="0.35">
      <c r="A89" s="12" t="s">
        <v>64</v>
      </c>
      <c r="B89" s="12" t="s">
        <v>33</v>
      </c>
      <c r="C89" s="4">
        <v>49.452513000000003</v>
      </c>
      <c r="D89" s="4">
        <v>-1.540375</v>
      </c>
      <c r="E89" s="8">
        <v>1936</v>
      </c>
      <c r="F89" s="8">
        <v>1950</v>
      </c>
      <c r="G89" s="9">
        <f t="shared" si="4"/>
        <v>6</v>
      </c>
      <c r="H89" s="8" t="s">
        <v>65</v>
      </c>
      <c r="I89" s="9">
        <v>9</v>
      </c>
      <c r="J89" s="8" t="s">
        <v>798</v>
      </c>
      <c r="K89" s="11" t="s">
        <v>806</v>
      </c>
      <c r="N89" s="15"/>
    </row>
    <row r="90" spans="1:14" x14ac:dyDescent="0.35">
      <c r="A90" s="12" t="s">
        <v>66</v>
      </c>
      <c r="B90" s="12" t="s">
        <v>33</v>
      </c>
      <c r="C90" s="4">
        <v>49.642862000000001</v>
      </c>
      <c r="D90" s="4">
        <v>-1.619267</v>
      </c>
      <c r="E90" s="8">
        <v>1789</v>
      </c>
      <c r="F90" s="8">
        <v>1979</v>
      </c>
      <c r="G90" s="9">
        <f t="shared" si="4"/>
        <v>89</v>
      </c>
      <c r="H90" s="8" t="s">
        <v>67</v>
      </c>
      <c r="I90" s="9">
        <v>102</v>
      </c>
      <c r="J90" s="8" t="s">
        <v>798</v>
      </c>
      <c r="K90" s="11" t="s">
        <v>806</v>
      </c>
      <c r="N90" s="15"/>
    </row>
    <row r="91" spans="1:14" x14ac:dyDescent="0.35">
      <c r="A91" s="12" t="s">
        <v>66</v>
      </c>
      <c r="B91" s="12" t="s">
        <v>33</v>
      </c>
      <c r="C91" s="4">
        <v>49.642862000000001</v>
      </c>
      <c r="D91" s="4">
        <v>-1.619267</v>
      </c>
      <c r="E91" s="8">
        <v>1900</v>
      </c>
      <c r="F91" s="8">
        <v>1914</v>
      </c>
      <c r="G91" s="9">
        <f t="shared" si="4"/>
        <v>15</v>
      </c>
      <c r="H91" s="8" t="s">
        <v>31</v>
      </c>
      <c r="I91" s="9">
        <v>0</v>
      </c>
      <c r="J91" s="8" t="s">
        <v>799</v>
      </c>
      <c r="K91" s="11" t="s">
        <v>806</v>
      </c>
      <c r="N91" s="15"/>
    </row>
    <row r="92" spans="1:14" x14ac:dyDescent="0.35">
      <c r="A92" s="12" t="s">
        <v>68</v>
      </c>
      <c r="B92" s="12" t="s">
        <v>33</v>
      </c>
      <c r="C92" s="4">
        <v>49.676575999999997</v>
      </c>
      <c r="D92" s="4">
        <v>-1.9340619999999999</v>
      </c>
      <c r="E92" s="8">
        <v>1921</v>
      </c>
      <c r="F92" s="8">
        <v>1922</v>
      </c>
      <c r="G92" s="9">
        <f t="shared" si="4"/>
        <v>2</v>
      </c>
      <c r="H92" s="8" t="s">
        <v>31</v>
      </c>
      <c r="I92" s="9">
        <v>0</v>
      </c>
      <c r="J92" s="8" t="s">
        <v>798</v>
      </c>
      <c r="K92" s="11" t="s">
        <v>806</v>
      </c>
      <c r="N92" s="15"/>
    </row>
    <row r="93" spans="1:14" x14ac:dyDescent="0.35">
      <c r="A93" s="12" t="s">
        <v>69</v>
      </c>
      <c r="B93" s="12" t="s">
        <v>33</v>
      </c>
      <c r="C93" s="4">
        <v>49.635413</v>
      </c>
      <c r="D93" s="4">
        <v>-1.942806</v>
      </c>
      <c r="E93" s="8">
        <v>1952</v>
      </c>
      <c r="F93" s="8">
        <v>1952</v>
      </c>
      <c r="G93" s="9">
        <f t="shared" si="4"/>
        <v>1</v>
      </c>
      <c r="H93" s="8" t="s">
        <v>31</v>
      </c>
      <c r="I93" s="9">
        <v>0</v>
      </c>
      <c r="J93" s="8" t="s">
        <v>798</v>
      </c>
      <c r="K93" s="11" t="s">
        <v>806</v>
      </c>
      <c r="N93" s="15"/>
    </row>
    <row r="94" spans="1:14" x14ac:dyDescent="0.35">
      <c r="A94" s="12" t="s">
        <v>70</v>
      </c>
      <c r="B94" s="12" t="s">
        <v>33</v>
      </c>
      <c r="C94" s="4">
        <v>49.714629000000002</v>
      </c>
      <c r="D94" s="4">
        <v>-1.9451160000000001</v>
      </c>
      <c r="E94" s="8">
        <v>1921</v>
      </c>
      <c r="F94" s="8">
        <v>1922</v>
      </c>
      <c r="G94" s="9">
        <f t="shared" si="4"/>
        <v>2</v>
      </c>
      <c r="H94" s="8" t="s">
        <v>31</v>
      </c>
      <c r="I94" s="9">
        <v>0</v>
      </c>
      <c r="J94" s="8" t="s">
        <v>798</v>
      </c>
      <c r="K94" s="11" t="s">
        <v>806</v>
      </c>
      <c r="N94" s="15"/>
    </row>
    <row r="95" spans="1:14" x14ac:dyDescent="0.35">
      <c r="A95" s="12" t="s">
        <v>71</v>
      </c>
      <c r="B95" s="12" t="s">
        <v>33</v>
      </c>
      <c r="C95" s="4">
        <v>49.378546999999998</v>
      </c>
      <c r="D95" s="4">
        <v>-1.776216</v>
      </c>
      <c r="E95" s="8">
        <v>1902</v>
      </c>
      <c r="F95" s="8">
        <v>1902</v>
      </c>
      <c r="G95" s="9">
        <f t="shared" si="4"/>
        <v>1</v>
      </c>
      <c r="H95" s="8" t="s">
        <v>31</v>
      </c>
      <c r="I95" s="9">
        <v>0</v>
      </c>
      <c r="J95" s="8" t="s">
        <v>798</v>
      </c>
      <c r="K95" s="11" t="s">
        <v>806</v>
      </c>
      <c r="N95" s="15"/>
    </row>
    <row r="96" spans="1:14" x14ac:dyDescent="0.35">
      <c r="A96" s="12" t="s">
        <v>71</v>
      </c>
      <c r="B96" s="12" t="s">
        <v>33</v>
      </c>
      <c r="C96" s="4">
        <v>49.378546999999998</v>
      </c>
      <c r="D96" s="4">
        <v>-1.776216</v>
      </c>
      <c r="E96" s="8">
        <v>1902</v>
      </c>
      <c r="F96" s="8">
        <v>1902</v>
      </c>
      <c r="G96" s="9">
        <f t="shared" si="4"/>
        <v>1</v>
      </c>
      <c r="H96" s="8" t="s">
        <v>31</v>
      </c>
      <c r="I96" s="9">
        <v>0</v>
      </c>
      <c r="J96" s="8" t="s">
        <v>799</v>
      </c>
      <c r="K96" s="11" t="s">
        <v>806</v>
      </c>
      <c r="N96" s="15"/>
    </row>
    <row r="97" spans="1:14" x14ac:dyDescent="0.35">
      <c r="A97" s="12" t="s">
        <v>72</v>
      </c>
      <c r="B97" s="12" t="s">
        <v>33</v>
      </c>
      <c r="C97" s="4">
        <v>48.894466999999999</v>
      </c>
      <c r="D97" s="4">
        <v>-1.8219209999999999</v>
      </c>
      <c r="E97" s="8">
        <v>1831</v>
      </c>
      <c r="F97" s="8">
        <v>1832</v>
      </c>
      <c r="G97" s="9">
        <f t="shared" si="4"/>
        <v>2</v>
      </c>
      <c r="H97" s="8" t="s">
        <v>31</v>
      </c>
      <c r="I97" s="9">
        <v>0</v>
      </c>
      <c r="J97" s="8" t="s">
        <v>770</v>
      </c>
      <c r="K97" s="11" t="s">
        <v>806</v>
      </c>
      <c r="N97" s="15"/>
    </row>
    <row r="98" spans="1:14" x14ac:dyDescent="0.35">
      <c r="A98" s="12" t="s">
        <v>72</v>
      </c>
      <c r="B98" s="12" t="s">
        <v>33</v>
      </c>
      <c r="C98" s="4">
        <v>48.894466999999999</v>
      </c>
      <c r="D98" s="4">
        <v>-1.8219209999999999</v>
      </c>
      <c r="E98" s="8">
        <v>1923</v>
      </c>
      <c r="F98" s="8">
        <v>1924</v>
      </c>
      <c r="G98" s="9">
        <f t="shared" si="4"/>
        <v>2</v>
      </c>
      <c r="H98" s="8" t="s">
        <v>31</v>
      </c>
      <c r="I98" s="9">
        <v>0</v>
      </c>
      <c r="J98" s="8" t="s">
        <v>798</v>
      </c>
      <c r="K98" s="11" t="s">
        <v>806</v>
      </c>
      <c r="N98" s="15"/>
    </row>
    <row r="99" spans="1:14" x14ac:dyDescent="0.35">
      <c r="A99" s="12" t="s">
        <v>73</v>
      </c>
      <c r="B99" s="12" t="s">
        <v>33</v>
      </c>
      <c r="C99" s="4">
        <v>48.877521000000002</v>
      </c>
      <c r="D99" s="4">
        <v>-1.825637</v>
      </c>
      <c r="E99" s="8">
        <v>1829</v>
      </c>
      <c r="F99" s="8">
        <v>1922</v>
      </c>
      <c r="G99" s="9">
        <f t="shared" si="4"/>
        <v>4</v>
      </c>
      <c r="H99" s="8" t="s">
        <v>74</v>
      </c>
      <c r="I99" s="9">
        <v>90</v>
      </c>
      <c r="J99" s="8" t="s">
        <v>798</v>
      </c>
      <c r="K99" s="11" t="s">
        <v>806</v>
      </c>
      <c r="N99" s="15"/>
    </row>
    <row r="100" spans="1:14" x14ac:dyDescent="0.35">
      <c r="A100" s="12" t="s">
        <v>73</v>
      </c>
      <c r="B100" s="12" t="s">
        <v>33</v>
      </c>
      <c r="C100" s="4">
        <v>48.877521000000002</v>
      </c>
      <c r="D100" s="4">
        <v>-1.825637</v>
      </c>
      <c r="E100" s="8">
        <v>1832</v>
      </c>
      <c r="F100" s="8">
        <v>1840</v>
      </c>
      <c r="G100" s="9">
        <f t="shared" si="4"/>
        <v>7</v>
      </c>
      <c r="H100" s="8" t="s">
        <v>75</v>
      </c>
      <c r="I100" s="9">
        <v>2</v>
      </c>
      <c r="J100" s="8" t="s">
        <v>770</v>
      </c>
      <c r="K100" s="11" t="s">
        <v>806</v>
      </c>
      <c r="N100" s="15"/>
    </row>
    <row r="101" spans="1:14" x14ac:dyDescent="0.35">
      <c r="A101" s="12" t="s">
        <v>76</v>
      </c>
      <c r="B101" s="12" t="s">
        <v>33</v>
      </c>
      <c r="C101" s="4">
        <v>48.670414000000001</v>
      </c>
      <c r="D101" s="4">
        <v>-1.8516459999999999</v>
      </c>
      <c r="E101" s="8">
        <v>1835</v>
      </c>
      <c r="F101" s="8">
        <v>1840</v>
      </c>
      <c r="G101" s="9">
        <f t="shared" si="4"/>
        <v>6</v>
      </c>
      <c r="H101" s="8" t="s">
        <v>31</v>
      </c>
      <c r="I101" s="9">
        <v>0</v>
      </c>
      <c r="J101" s="8" t="s">
        <v>770</v>
      </c>
      <c r="K101" s="11" t="s">
        <v>806</v>
      </c>
      <c r="N101" s="15"/>
    </row>
    <row r="102" spans="1:14" x14ac:dyDescent="0.35">
      <c r="A102" s="12" t="s">
        <v>76</v>
      </c>
      <c r="B102" s="12" t="s">
        <v>33</v>
      </c>
      <c r="C102" s="4">
        <v>48.670414000000001</v>
      </c>
      <c r="D102" s="4">
        <v>-1.8516459999999999</v>
      </c>
      <c r="E102" s="8">
        <v>1923</v>
      </c>
      <c r="F102" s="8">
        <v>1924</v>
      </c>
      <c r="G102" s="9">
        <f t="shared" si="4"/>
        <v>2</v>
      </c>
      <c r="H102" s="8" t="s">
        <v>31</v>
      </c>
      <c r="I102" s="9">
        <v>0</v>
      </c>
      <c r="J102" s="8" t="s">
        <v>798</v>
      </c>
      <c r="K102" s="11" t="s">
        <v>806</v>
      </c>
      <c r="N102" s="15"/>
    </row>
    <row r="103" spans="1:14" x14ac:dyDescent="0.35">
      <c r="A103" s="12" t="s">
        <v>77</v>
      </c>
      <c r="B103" s="12" t="s">
        <v>33</v>
      </c>
      <c r="C103" s="4">
        <v>48.667085999999998</v>
      </c>
      <c r="D103" s="4">
        <v>-1.993706</v>
      </c>
      <c r="E103" s="8">
        <v>1960</v>
      </c>
      <c r="F103" s="8">
        <v>1960</v>
      </c>
      <c r="G103" s="9">
        <f t="shared" si="4"/>
        <v>1</v>
      </c>
      <c r="H103" s="8" t="s">
        <v>31</v>
      </c>
      <c r="I103" s="9">
        <v>0</v>
      </c>
      <c r="J103" s="8" t="s">
        <v>798</v>
      </c>
      <c r="K103" s="11" t="s">
        <v>806</v>
      </c>
      <c r="N103" s="15"/>
    </row>
    <row r="104" spans="1:14" x14ac:dyDescent="0.35">
      <c r="A104" s="12" t="s">
        <v>819</v>
      </c>
      <c r="B104" s="12" t="s">
        <v>33</v>
      </c>
      <c r="C104" s="4">
        <v>48.645650000000003</v>
      </c>
      <c r="D104" s="4">
        <v>-2.025855</v>
      </c>
      <c r="E104" s="8">
        <v>1829</v>
      </c>
      <c r="F104" s="8">
        <v>1841</v>
      </c>
      <c r="G104" s="9">
        <f t="shared" si="4"/>
        <v>8</v>
      </c>
      <c r="H104" s="8" t="s">
        <v>78</v>
      </c>
      <c r="I104" s="9">
        <v>5</v>
      </c>
      <c r="J104" s="8" t="s">
        <v>770</v>
      </c>
      <c r="K104" s="11" t="s">
        <v>806</v>
      </c>
      <c r="N104" s="15"/>
    </row>
    <row r="105" spans="1:14" x14ac:dyDescent="0.35">
      <c r="A105" s="12" t="s">
        <v>819</v>
      </c>
      <c r="B105" s="12" t="s">
        <v>33</v>
      </c>
      <c r="C105" s="4">
        <v>48.645650000000003</v>
      </c>
      <c r="D105" s="4">
        <v>-2.025855</v>
      </c>
      <c r="E105" s="8">
        <v>1835</v>
      </c>
      <c r="F105" s="8">
        <v>1950</v>
      </c>
      <c r="G105" s="9">
        <f t="shared" si="4"/>
        <v>65</v>
      </c>
      <c r="H105" s="8" t="s">
        <v>79</v>
      </c>
      <c r="I105" s="9">
        <v>51</v>
      </c>
      <c r="J105" s="8" t="s">
        <v>798</v>
      </c>
      <c r="K105" s="11" t="s">
        <v>806</v>
      </c>
      <c r="N105" s="15"/>
    </row>
    <row r="106" spans="1:14" x14ac:dyDescent="0.35">
      <c r="A106" s="12" t="s">
        <v>819</v>
      </c>
      <c r="B106" s="12" t="s">
        <v>33</v>
      </c>
      <c r="C106" s="4">
        <v>48.645650000000003</v>
      </c>
      <c r="D106" s="4">
        <v>-2.025855</v>
      </c>
      <c r="E106" s="8">
        <v>1850</v>
      </c>
      <c r="F106" s="8">
        <v>1917</v>
      </c>
      <c r="G106" s="9">
        <f t="shared" si="4"/>
        <v>68</v>
      </c>
      <c r="H106" s="8" t="s">
        <v>31</v>
      </c>
      <c r="I106" s="9">
        <v>0</v>
      </c>
      <c r="J106" s="8" t="s">
        <v>799</v>
      </c>
      <c r="K106" s="11" t="s">
        <v>806</v>
      </c>
      <c r="N106" s="15"/>
    </row>
    <row r="107" spans="1:14" x14ac:dyDescent="0.35">
      <c r="A107" s="12" t="s">
        <v>80</v>
      </c>
      <c r="B107" s="12" t="s">
        <v>33</v>
      </c>
      <c r="C107" s="4">
        <v>48.687736999999998</v>
      </c>
      <c r="D107" s="4">
        <v>-2.3177219999999998</v>
      </c>
      <c r="E107" s="8">
        <v>1925</v>
      </c>
      <c r="F107" s="8">
        <v>1925</v>
      </c>
      <c r="G107" s="9">
        <f t="shared" si="4"/>
        <v>1</v>
      </c>
      <c r="H107" s="8" t="s">
        <v>31</v>
      </c>
      <c r="I107" s="9">
        <v>0</v>
      </c>
      <c r="J107" s="8" t="s">
        <v>798</v>
      </c>
      <c r="K107" s="11" t="s">
        <v>806</v>
      </c>
      <c r="N107" s="15"/>
    </row>
    <row r="108" spans="1:14" x14ac:dyDescent="0.35">
      <c r="A108" s="12" t="s">
        <v>81</v>
      </c>
      <c r="B108" s="12" t="s">
        <v>33</v>
      </c>
      <c r="C108" s="4">
        <v>48.856391000000002</v>
      </c>
      <c r="D108" s="4">
        <v>-3.076619</v>
      </c>
      <c r="E108" s="8">
        <v>1902</v>
      </c>
      <c r="F108" s="8">
        <v>1902</v>
      </c>
      <c r="G108" s="9">
        <f t="shared" si="4"/>
        <v>1</v>
      </c>
      <c r="H108" s="8" t="s">
        <v>31</v>
      </c>
      <c r="I108" s="9">
        <v>0</v>
      </c>
      <c r="J108" s="8" t="s">
        <v>799</v>
      </c>
      <c r="K108" s="11" t="s">
        <v>806</v>
      </c>
      <c r="N108" s="15"/>
    </row>
    <row r="109" spans="1:14" x14ac:dyDescent="0.35">
      <c r="A109" s="12" t="s">
        <v>82</v>
      </c>
      <c r="B109" s="12" t="s">
        <v>33</v>
      </c>
      <c r="C109" s="4">
        <v>48.532195000000002</v>
      </c>
      <c r="D109" s="4">
        <v>-2.7113770000000001</v>
      </c>
      <c r="E109" s="8">
        <v>1926</v>
      </c>
      <c r="F109" s="8">
        <v>1929</v>
      </c>
      <c r="G109" s="9">
        <f t="shared" si="4"/>
        <v>4</v>
      </c>
      <c r="H109" s="8" t="s">
        <v>31</v>
      </c>
      <c r="I109" s="9">
        <v>0</v>
      </c>
      <c r="J109" s="8" t="s">
        <v>798</v>
      </c>
      <c r="K109" s="11" t="s">
        <v>806</v>
      </c>
      <c r="N109" s="15"/>
    </row>
    <row r="110" spans="1:14" x14ac:dyDescent="0.35">
      <c r="A110" s="12" t="s">
        <v>83</v>
      </c>
      <c r="B110" s="12" t="s">
        <v>33</v>
      </c>
      <c r="C110" s="4">
        <v>48.781377999999997</v>
      </c>
      <c r="D110" s="4">
        <v>-3.0430069999999998</v>
      </c>
      <c r="E110" s="8">
        <v>1835</v>
      </c>
      <c r="F110" s="8">
        <v>1902</v>
      </c>
      <c r="G110" s="9">
        <f t="shared" si="4"/>
        <v>65</v>
      </c>
      <c r="H110" s="8" t="s">
        <v>84</v>
      </c>
      <c r="I110" s="9">
        <v>3</v>
      </c>
      <c r="J110" s="8" t="s">
        <v>770</v>
      </c>
      <c r="K110" s="11" t="s">
        <v>806</v>
      </c>
      <c r="N110" s="15"/>
    </row>
    <row r="111" spans="1:14" x14ac:dyDescent="0.35">
      <c r="A111" s="12" t="s">
        <v>83</v>
      </c>
      <c r="B111" s="12" t="s">
        <v>33</v>
      </c>
      <c r="C111" s="4">
        <v>48.781377999999997</v>
      </c>
      <c r="D111" s="4">
        <v>-3.0430069999999998</v>
      </c>
      <c r="E111" s="8">
        <v>1902</v>
      </c>
      <c r="F111" s="8">
        <v>1902</v>
      </c>
      <c r="G111" s="9">
        <f t="shared" si="4"/>
        <v>1</v>
      </c>
      <c r="H111" s="8" t="s">
        <v>31</v>
      </c>
      <c r="I111" s="9">
        <v>0</v>
      </c>
      <c r="J111" s="8" t="s">
        <v>799</v>
      </c>
      <c r="K111" s="11" t="s">
        <v>806</v>
      </c>
      <c r="N111" s="15"/>
    </row>
    <row r="112" spans="1:14" x14ac:dyDescent="0.35">
      <c r="A112" s="12" t="s">
        <v>85</v>
      </c>
      <c r="B112" s="12" t="s">
        <v>33</v>
      </c>
      <c r="C112" s="4">
        <v>48.908524</v>
      </c>
      <c r="D112" s="4">
        <v>-3.0862949999999998</v>
      </c>
      <c r="E112" s="8">
        <v>1889</v>
      </c>
      <c r="F112" s="8">
        <v>1932</v>
      </c>
      <c r="G112" s="9">
        <f t="shared" ref="G112:G143" si="5">(1+(F112-E112))-I112</f>
        <v>9</v>
      </c>
      <c r="H112" s="8" t="s">
        <v>86</v>
      </c>
      <c r="I112" s="9">
        <v>35</v>
      </c>
      <c r="J112" s="8" t="s">
        <v>798</v>
      </c>
      <c r="K112" s="11" t="s">
        <v>806</v>
      </c>
      <c r="N112" s="15"/>
    </row>
    <row r="113" spans="1:14" x14ac:dyDescent="0.35">
      <c r="A113" s="12" t="s">
        <v>87</v>
      </c>
      <c r="B113" s="12" t="s">
        <v>33</v>
      </c>
      <c r="C113" s="4">
        <v>48.908563999999998</v>
      </c>
      <c r="D113" s="4">
        <v>-3.0873339999999998</v>
      </c>
      <c r="E113" s="8">
        <v>1930</v>
      </c>
      <c r="F113" s="8">
        <v>1935</v>
      </c>
      <c r="G113" s="9">
        <f t="shared" si="5"/>
        <v>3</v>
      </c>
      <c r="H113" s="8" t="s">
        <v>88</v>
      </c>
      <c r="I113" s="9">
        <v>3</v>
      </c>
      <c r="J113" s="8" t="s">
        <v>798</v>
      </c>
      <c r="K113" s="11" t="s">
        <v>806</v>
      </c>
      <c r="N113" s="15"/>
    </row>
    <row r="114" spans="1:14" x14ac:dyDescent="0.35">
      <c r="A114" s="12" t="s">
        <v>89</v>
      </c>
      <c r="B114" s="12" t="s">
        <v>33</v>
      </c>
      <c r="C114" s="4">
        <v>48.818890000000003</v>
      </c>
      <c r="D114" s="4">
        <v>-3.4597669999999998</v>
      </c>
      <c r="E114" s="8">
        <v>1955</v>
      </c>
      <c r="F114" s="8">
        <v>1956</v>
      </c>
      <c r="G114" s="9">
        <f t="shared" si="5"/>
        <v>2</v>
      </c>
      <c r="H114" s="8" t="s">
        <v>31</v>
      </c>
      <c r="I114" s="9">
        <v>0</v>
      </c>
      <c r="J114" s="8" t="s">
        <v>798</v>
      </c>
      <c r="K114" s="11" t="s">
        <v>806</v>
      </c>
      <c r="N114" s="15"/>
    </row>
    <row r="115" spans="1:14" x14ac:dyDescent="0.35">
      <c r="A115" s="12" t="s">
        <v>90</v>
      </c>
      <c r="B115" s="12" t="s">
        <v>33</v>
      </c>
      <c r="C115" s="4">
        <v>48.788150999999999</v>
      </c>
      <c r="D115" s="4">
        <v>-3.2245910000000002</v>
      </c>
      <c r="E115" s="8">
        <v>1954</v>
      </c>
      <c r="F115" s="8">
        <v>1956</v>
      </c>
      <c r="G115" s="9">
        <f t="shared" si="5"/>
        <v>3</v>
      </c>
      <c r="H115" s="8" t="s">
        <v>31</v>
      </c>
      <c r="I115" s="9">
        <v>0</v>
      </c>
      <c r="J115" s="8" t="s">
        <v>798</v>
      </c>
      <c r="K115" s="11" t="s">
        <v>806</v>
      </c>
      <c r="N115" s="15"/>
    </row>
    <row r="116" spans="1:14" x14ac:dyDescent="0.35">
      <c r="A116" s="12" t="s">
        <v>91</v>
      </c>
      <c r="B116" s="12" t="s">
        <v>33</v>
      </c>
      <c r="C116" s="4">
        <v>48.588330999999997</v>
      </c>
      <c r="D116" s="4">
        <v>-3.8379340000000002</v>
      </c>
      <c r="E116" s="8">
        <v>1837</v>
      </c>
      <c r="F116" s="8">
        <v>1931</v>
      </c>
      <c r="G116" s="9">
        <f t="shared" si="5"/>
        <v>4</v>
      </c>
      <c r="H116" s="8" t="s">
        <v>92</v>
      </c>
      <c r="I116" s="9">
        <v>91</v>
      </c>
      <c r="J116" s="8" t="s">
        <v>798</v>
      </c>
      <c r="K116" s="11" t="s">
        <v>806</v>
      </c>
      <c r="N116" s="15"/>
    </row>
    <row r="117" spans="1:14" x14ac:dyDescent="0.35">
      <c r="A117" s="12" t="s">
        <v>93</v>
      </c>
      <c r="B117" s="12" t="s">
        <v>33</v>
      </c>
      <c r="C117" s="4">
        <v>48.725665999999997</v>
      </c>
      <c r="D117" s="4">
        <v>-3.982326</v>
      </c>
      <c r="E117" s="8">
        <v>1954</v>
      </c>
      <c r="F117" s="8">
        <v>1954</v>
      </c>
      <c r="G117" s="9">
        <f t="shared" si="5"/>
        <v>1</v>
      </c>
      <c r="H117" s="8" t="s">
        <v>31</v>
      </c>
      <c r="I117" s="9">
        <v>0</v>
      </c>
      <c r="J117" s="8" t="s">
        <v>770</v>
      </c>
      <c r="K117" s="11" t="s">
        <v>806</v>
      </c>
      <c r="N117" s="15"/>
    </row>
    <row r="118" spans="1:14" x14ac:dyDescent="0.35">
      <c r="A118" s="12" t="s">
        <v>94</v>
      </c>
      <c r="B118" s="12" t="s">
        <v>33</v>
      </c>
      <c r="C118" s="4">
        <v>48.598787000000002</v>
      </c>
      <c r="D118" s="4">
        <v>-4.5629939999999998</v>
      </c>
      <c r="E118" s="8">
        <v>1835</v>
      </c>
      <c r="F118" s="8">
        <v>1932</v>
      </c>
      <c r="G118" s="9">
        <f t="shared" si="5"/>
        <v>7</v>
      </c>
      <c r="H118" s="8" t="s">
        <v>95</v>
      </c>
      <c r="I118" s="9">
        <v>91</v>
      </c>
      <c r="J118" s="8" t="s">
        <v>798</v>
      </c>
      <c r="K118" s="11" t="s">
        <v>806</v>
      </c>
      <c r="N118" s="15"/>
    </row>
    <row r="119" spans="1:14" x14ac:dyDescent="0.35">
      <c r="A119" s="12" t="s">
        <v>96</v>
      </c>
      <c r="B119" s="12" t="s">
        <v>33</v>
      </c>
      <c r="C119" s="4">
        <v>48.518580999999998</v>
      </c>
      <c r="D119" s="4">
        <v>-4.7582240000000002</v>
      </c>
      <c r="E119" s="8">
        <v>1964</v>
      </c>
      <c r="F119" s="8">
        <v>1966</v>
      </c>
      <c r="G119" s="9">
        <f t="shared" si="5"/>
        <v>3</v>
      </c>
      <c r="H119" s="8" t="s">
        <v>31</v>
      </c>
      <c r="I119" s="9">
        <v>0</v>
      </c>
      <c r="J119" s="8" t="s">
        <v>798</v>
      </c>
      <c r="K119" s="11" t="s">
        <v>806</v>
      </c>
      <c r="N119" s="15"/>
    </row>
    <row r="120" spans="1:14" x14ac:dyDescent="0.35">
      <c r="A120" s="12" t="s">
        <v>97</v>
      </c>
      <c r="B120" s="12" t="s">
        <v>33</v>
      </c>
      <c r="C120" s="4">
        <v>48.454442</v>
      </c>
      <c r="D120" s="4">
        <v>-5.0961939999999997</v>
      </c>
      <c r="E120" s="8">
        <v>1816</v>
      </c>
      <c r="F120" s="8">
        <v>1818</v>
      </c>
      <c r="G120" s="9">
        <f t="shared" si="5"/>
        <v>3</v>
      </c>
      <c r="H120" s="8" t="s">
        <v>31</v>
      </c>
      <c r="I120" s="9">
        <v>0</v>
      </c>
      <c r="J120" s="8" t="s">
        <v>798</v>
      </c>
      <c r="K120" s="11" t="s">
        <v>806</v>
      </c>
      <c r="N120" s="15"/>
    </row>
    <row r="121" spans="1:14" x14ac:dyDescent="0.35">
      <c r="A121" s="12" t="s">
        <v>97</v>
      </c>
      <c r="B121" s="12" t="s">
        <v>33</v>
      </c>
      <c r="C121" s="4">
        <v>48.454442</v>
      </c>
      <c r="D121" s="4">
        <v>-5.0961939999999997</v>
      </c>
      <c r="E121" s="8">
        <v>1835</v>
      </c>
      <c r="F121" s="8">
        <v>1840</v>
      </c>
      <c r="G121" s="9">
        <f t="shared" si="5"/>
        <v>5</v>
      </c>
      <c r="H121" s="8">
        <v>1839</v>
      </c>
      <c r="I121" s="9">
        <v>1</v>
      </c>
      <c r="J121" s="8" t="s">
        <v>770</v>
      </c>
      <c r="K121" s="11" t="s">
        <v>806</v>
      </c>
      <c r="N121" s="15"/>
    </row>
    <row r="122" spans="1:14" x14ac:dyDescent="0.35">
      <c r="A122" s="12" t="s">
        <v>98</v>
      </c>
      <c r="B122" s="12" t="s">
        <v>33</v>
      </c>
      <c r="C122" s="4">
        <v>48.035325</v>
      </c>
      <c r="D122" s="4">
        <v>-4.8488680000000004</v>
      </c>
      <c r="E122" s="8">
        <v>1816</v>
      </c>
      <c r="F122" s="8">
        <v>1932</v>
      </c>
      <c r="G122" s="9">
        <f t="shared" si="5"/>
        <v>5</v>
      </c>
      <c r="H122" s="8" t="s">
        <v>99</v>
      </c>
      <c r="I122" s="9">
        <v>112</v>
      </c>
      <c r="J122" s="8" t="s">
        <v>798</v>
      </c>
      <c r="K122" s="11" t="s">
        <v>806</v>
      </c>
      <c r="N122" s="15"/>
    </row>
    <row r="123" spans="1:14" x14ac:dyDescent="0.35">
      <c r="A123" s="8" t="s">
        <v>100</v>
      </c>
      <c r="B123" s="12" t="s">
        <v>33</v>
      </c>
      <c r="C123" s="4">
        <v>48.397497000000001</v>
      </c>
      <c r="D123" s="4">
        <v>-4.9549849999999998</v>
      </c>
      <c r="E123" s="8">
        <v>1818</v>
      </c>
      <c r="F123" s="8">
        <v>1818</v>
      </c>
      <c r="G123" s="9">
        <f t="shared" si="5"/>
        <v>1</v>
      </c>
      <c r="H123" s="8" t="s">
        <v>31</v>
      </c>
      <c r="I123" s="9">
        <v>0</v>
      </c>
      <c r="J123" s="8" t="s">
        <v>798</v>
      </c>
      <c r="K123" s="11" t="s">
        <v>806</v>
      </c>
      <c r="N123" s="15"/>
    </row>
    <row r="124" spans="1:14" x14ac:dyDescent="0.35">
      <c r="A124" s="12" t="s">
        <v>101</v>
      </c>
      <c r="B124" s="12" t="s">
        <v>33</v>
      </c>
      <c r="C124" s="4">
        <v>48.314304</v>
      </c>
      <c r="D124" s="4">
        <v>-4.545337</v>
      </c>
      <c r="E124" s="8">
        <v>1948</v>
      </c>
      <c r="F124" s="8">
        <v>1948</v>
      </c>
      <c r="G124" s="9">
        <f t="shared" si="5"/>
        <v>1</v>
      </c>
      <c r="H124" s="8" t="s">
        <v>31</v>
      </c>
      <c r="I124" s="9">
        <v>0</v>
      </c>
      <c r="J124" s="8" t="s">
        <v>798</v>
      </c>
      <c r="K124" s="11" t="s">
        <v>806</v>
      </c>
      <c r="N124" s="15"/>
    </row>
    <row r="125" spans="1:14" x14ac:dyDescent="0.35">
      <c r="A125" s="12" t="s">
        <v>102</v>
      </c>
      <c r="B125" s="12" t="s">
        <v>33</v>
      </c>
      <c r="C125" s="4">
        <v>48.280343000000002</v>
      </c>
      <c r="D125" s="4">
        <v>-4.591119</v>
      </c>
      <c r="E125" s="8">
        <v>1816</v>
      </c>
      <c r="F125" s="8">
        <v>1816</v>
      </c>
      <c r="G125" s="9">
        <f t="shared" si="5"/>
        <v>1</v>
      </c>
      <c r="H125" s="8" t="s">
        <v>31</v>
      </c>
      <c r="I125" s="9">
        <v>0</v>
      </c>
      <c r="J125" s="8" t="s">
        <v>798</v>
      </c>
      <c r="K125" s="11" t="s">
        <v>806</v>
      </c>
      <c r="N125" s="15"/>
    </row>
    <row r="126" spans="1:14" x14ac:dyDescent="0.35">
      <c r="A126" s="12" t="s">
        <v>103</v>
      </c>
      <c r="B126" s="12" t="s">
        <v>33</v>
      </c>
      <c r="C126" s="4">
        <v>48.100650000000002</v>
      </c>
      <c r="D126" s="4">
        <v>-4.3413950000000003</v>
      </c>
      <c r="E126" s="8">
        <v>1817</v>
      </c>
      <c r="F126" s="8">
        <v>1954</v>
      </c>
      <c r="G126" s="9">
        <f t="shared" si="5"/>
        <v>25</v>
      </c>
      <c r="H126" s="8" t="s">
        <v>104</v>
      </c>
      <c r="I126" s="9">
        <v>113</v>
      </c>
      <c r="J126" s="8" t="s">
        <v>798</v>
      </c>
      <c r="K126" s="11" t="s">
        <v>806</v>
      </c>
      <c r="N126" s="15"/>
    </row>
    <row r="127" spans="1:14" x14ac:dyDescent="0.35">
      <c r="A127" s="12" t="s">
        <v>103</v>
      </c>
      <c r="B127" s="12" t="s">
        <v>33</v>
      </c>
      <c r="C127" s="4">
        <v>48.100650000000002</v>
      </c>
      <c r="D127" s="4">
        <v>-4.3413950000000003</v>
      </c>
      <c r="E127" s="8">
        <v>1835</v>
      </c>
      <c r="F127" s="8">
        <v>1840</v>
      </c>
      <c r="G127" s="9">
        <f t="shared" si="5"/>
        <v>6</v>
      </c>
      <c r="H127" s="8" t="s">
        <v>31</v>
      </c>
      <c r="I127" s="9">
        <v>0</v>
      </c>
      <c r="J127" s="8" t="s">
        <v>770</v>
      </c>
      <c r="K127" s="11" t="s">
        <v>806</v>
      </c>
      <c r="N127" s="15"/>
    </row>
    <row r="128" spans="1:14" x14ac:dyDescent="0.35">
      <c r="A128" s="12" t="s">
        <v>105</v>
      </c>
      <c r="B128" s="12" t="s">
        <v>33</v>
      </c>
      <c r="C128" s="4">
        <v>48.02158</v>
      </c>
      <c r="D128" s="4">
        <v>-4.5374790000000003</v>
      </c>
      <c r="E128" s="8">
        <v>1835</v>
      </c>
      <c r="F128" s="8">
        <v>1840</v>
      </c>
      <c r="G128" s="9">
        <f t="shared" si="5"/>
        <v>6</v>
      </c>
      <c r="H128" s="8" t="s">
        <v>31</v>
      </c>
      <c r="I128" s="9">
        <v>0</v>
      </c>
      <c r="J128" s="8" t="s">
        <v>770</v>
      </c>
      <c r="K128" s="11" t="s">
        <v>806</v>
      </c>
      <c r="N128" s="15"/>
    </row>
    <row r="129" spans="1:14" x14ac:dyDescent="0.35">
      <c r="A129" s="12" t="s">
        <v>105</v>
      </c>
      <c r="B129" s="12" t="s">
        <v>33</v>
      </c>
      <c r="C129" s="4">
        <v>48.02158</v>
      </c>
      <c r="D129" s="4">
        <v>-4.5374790000000003</v>
      </c>
      <c r="E129" s="8">
        <v>1902</v>
      </c>
      <c r="F129" s="8">
        <v>1960</v>
      </c>
      <c r="G129" s="9">
        <f t="shared" si="5"/>
        <v>5</v>
      </c>
      <c r="H129" s="8" t="s">
        <v>106</v>
      </c>
      <c r="I129" s="9">
        <v>54</v>
      </c>
      <c r="J129" s="8" t="s">
        <v>798</v>
      </c>
      <c r="K129" s="11" t="s">
        <v>806</v>
      </c>
      <c r="N129" s="15"/>
    </row>
    <row r="130" spans="1:14" x14ac:dyDescent="0.35">
      <c r="A130" s="12" t="s">
        <v>107</v>
      </c>
      <c r="B130" s="12" t="s">
        <v>33</v>
      </c>
      <c r="C130" s="4">
        <v>48.309806000000002</v>
      </c>
      <c r="D130" s="4">
        <v>-4.4993660000000002</v>
      </c>
      <c r="E130" s="8">
        <v>1954</v>
      </c>
      <c r="F130" s="8">
        <v>1967</v>
      </c>
      <c r="G130" s="9">
        <f t="shared" si="5"/>
        <v>5</v>
      </c>
      <c r="H130" s="8" t="s">
        <v>108</v>
      </c>
      <c r="I130" s="9">
        <v>9</v>
      </c>
      <c r="J130" s="8" t="s">
        <v>798</v>
      </c>
      <c r="K130" s="11" t="s">
        <v>806</v>
      </c>
      <c r="N130" s="15"/>
    </row>
    <row r="131" spans="1:14" x14ac:dyDescent="0.35">
      <c r="A131" s="12" t="s">
        <v>109</v>
      </c>
      <c r="B131" s="12" t="s">
        <v>33</v>
      </c>
      <c r="C131" s="4">
        <v>47.798085</v>
      </c>
      <c r="D131" s="4">
        <v>-4.3505719999999997</v>
      </c>
      <c r="E131" s="8">
        <v>1902</v>
      </c>
      <c r="F131" s="8">
        <v>1904</v>
      </c>
      <c r="G131" s="9">
        <f t="shared" si="5"/>
        <v>2</v>
      </c>
      <c r="H131" s="8">
        <v>1903</v>
      </c>
      <c r="I131" s="9">
        <v>1</v>
      </c>
      <c r="J131" s="8" t="s">
        <v>770</v>
      </c>
      <c r="K131" s="11" t="s">
        <v>806</v>
      </c>
      <c r="N131" s="15"/>
    </row>
    <row r="132" spans="1:14" x14ac:dyDescent="0.35">
      <c r="A132" s="12" t="s">
        <v>109</v>
      </c>
      <c r="B132" s="12" t="s">
        <v>33</v>
      </c>
      <c r="C132" s="4">
        <v>47.798085</v>
      </c>
      <c r="D132" s="4">
        <v>-4.3505719999999997</v>
      </c>
      <c r="E132" s="8">
        <v>1902</v>
      </c>
      <c r="F132" s="8">
        <v>1902</v>
      </c>
      <c r="G132" s="9">
        <f t="shared" si="5"/>
        <v>1</v>
      </c>
      <c r="H132" s="8" t="s">
        <v>31</v>
      </c>
      <c r="I132" s="9">
        <v>0</v>
      </c>
      <c r="J132" s="8" t="s">
        <v>799</v>
      </c>
      <c r="K132" s="11" t="s">
        <v>806</v>
      </c>
      <c r="N132" s="15"/>
    </row>
    <row r="133" spans="1:14" x14ac:dyDescent="0.35">
      <c r="A133" s="12" t="s">
        <v>110</v>
      </c>
      <c r="B133" s="12" t="s">
        <v>33</v>
      </c>
      <c r="C133" s="4">
        <v>47.841076000000001</v>
      </c>
      <c r="D133" s="4">
        <v>-4.1699089999999996</v>
      </c>
      <c r="E133" s="8">
        <v>1835</v>
      </c>
      <c r="F133" s="8">
        <v>1840</v>
      </c>
      <c r="G133" s="9">
        <f t="shared" si="5"/>
        <v>6</v>
      </c>
      <c r="H133" s="8" t="s">
        <v>31</v>
      </c>
      <c r="I133" s="9">
        <v>0</v>
      </c>
      <c r="J133" s="8" t="s">
        <v>770</v>
      </c>
      <c r="K133" s="11" t="s">
        <v>806</v>
      </c>
      <c r="N133" s="15"/>
    </row>
    <row r="134" spans="1:14" x14ac:dyDescent="0.35">
      <c r="A134" s="12" t="s">
        <v>111</v>
      </c>
      <c r="B134" s="12" t="s">
        <v>33</v>
      </c>
      <c r="C134" s="4">
        <v>47.871772</v>
      </c>
      <c r="D134" s="4">
        <v>-4.1117980000000003</v>
      </c>
      <c r="E134" s="8">
        <v>1903</v>
      </c>
      <c r="F134" s="8">
        <v>1903</v>
      </c>
      <c r="G134" s="9">
        <f t="shared" si="5"/>
        <v>1</v>
      </c>
      <c r="H134" s="8" t="s">
        <v>31</v>
      </c>
      <c r="I134" s="9">
        <v>0</v>
      </c>
      <c r="J134" s="8" t="s">
        <v>799</v>
      </c>
      <c r="K134" s="11" t="s">
        <v>806</v>
      </c>
      <c r="N134" s="15"/>
    </row>
    <row r="135" spans="1:14" x14ac:dyDescent="0.35">
      <c r="A135" s="12" t="s">
        <v>112</v>
      </c>
      <c r="B135" s="12" t="s">
        <v>33</v>
      </c>
      <c r="C135" s="4">
        <v>47.872734999999999</v>
      </c>
      <c r="D135" s="4">
        <v>-3.915165</v>
      </c>
      <c r="E135" s="8">
        <v>1819</v>
      </c>
      <c r="F135" s="8">
        <v>1905</v>
      </c>
      <c r="G135" s="9">
        <f t="shared" si="5"/>
        <v>3</v>
      </c>
      <c r="H135" s="8" t="s">
        <v>113</v>
      </c>
      <c r="I135" s="9">
        <v>84</v>
      </c>
      <c r="J135" s="8" t="s">
        <v>798</v>
      </c>
      <c r="K135" s="11" t="s">
        <v>806</v>
      </c>
      <c r="N135" s="15"/>
    </row>
    <row r="136" spans="1:14" x14ac:dyDescent="0.35">
      <c r="A136" s="12" t="s">
        <v>114</v>
      </c>
      <c r="B136" s="12" t="s">
        <v>33</v>
      </c>
      <c r="C136" s="4">
        <v>47.803963000000003</v>
      </c>
      <c r="D136" s="4">
        <v>-3.280789</v>
      </c>
      <c r="E136" s="8">
        <v>1902</v>
      </c>
      <c r="F136" s="8">
        <v>1902</v>
      </c>
      <c r="G136" s="9">
        <f t="shared" si="5"/>
        <v>1</v>
      </c>
      <c r="H136" s="8" t="s">
        <v>31</v>
      </c>
      <c r="I136" s="9">
        <v>0</v>
      </c>
      <c r="J136" s="8" t="s">
        <v>798</v>
      </c>
      <c r="K136" s="11" t="s">
        <v>806</v>
      </c>
      <c r="N136" s="15"/>
    </row>
    <row r="137" spans="1:14" x14ac:dyDescent="0.35">
      <c r="A137" s="12" t="s">
        <v>115</v>
      </c>
      <c r="B137" s="12" t="s">
        <v>33</v>
      </c>
      <c r="C137" s="4">
        <v>47.71651</v>
      </c>
      <c r="D137" s="4">
        <v>-3.958968</v>
      </c>
      <c r="E137" s="8">
        <v>1903</v>
      </c>
      <c r="F137" s="8">
        <v>1903</v>
      </c>
      <c r="G137" s="9">
        <f t="shared" si="5"/>
        <v>1</v>
      </c>
      <c r="H137" s="8" t="s">
        <v>31</v>
      </c>
      <c r="I137" s="9">
        <v>0</v>
      </c>
      <c r="J137" s="8" t="s">
        <v>798</v>
      </c>
      <c r="K137" s="11" t="s">
        <v>806</v>
      </c>
      <c r="N137" s="15"/>
    </row>
    <row r="138" spans="1:14" x14ac:dyDescent="0.35">
      <c r="A138" s="12" t="s">
        <v>116</v>
      </c>
      <c r="B138" s="12" t="s">
        <v>33</v>
      </c>
      <c r="C138" s="4">
        <v>47.739440000000002</v>
      </c>
      <c r="D138" s="4">
        <v>-3.3533050000000002</v>
      </c>
      <c r="E138" s="8">
        <v>1716</v>
      </c>
      <c r="F138" s="8">
        <v>1951</v>
      </c>
      <c r="G138" s="9">
        <f t="shared" si="5"/>
        <v>15</v>
      </c>
      <c r="H138" s="8" t="s">
        <v>117</v>
      </c>
      <c r="I138" s="9">
        <v>221</v>
      </c>
      <c r="J138" s="8" t="s">
        <v>798</v>
      </c>
      <c r="K138" s="11" t="s">
        <v>806</v>
      </c>
      <c r="N138" s="15"/>
    </row>
    <row r="139" spans="1:14" x14ac:dyDescent="0.35">
      <c r="A139" s="12" t="s">
        <v>116</v>
      </c>
      <c r="B139" s="12" t="s">
        <v>33</v>
      </c>
      <c r="C139" s="4">
        <v>47.739440000000002</v>
      </c>
      <c r="D139" s="4">
        <v>-3.3533050000000002</v>
      </c>
      <c r="E139" s="8">
        <v>1839</v>
      </c>
      <c r="F139" s="8">
        <v>1858</v>
      </c>
      <c r="G139" s="9">
        <f t="shared" si="5"/>
        <v>20</v>
      </c>
      <c r="H139" s="8" t="s">
        <v>31</v>
      </c>
      <c r="I139" s="9">
        <v>0</v>
      </c>
      <c r="J139" s="8" t="s">
        <v>770</v>
      </c>
      <c r="K139" s="11" t="s">
        <v>806</v>
      </c>
      <c r="N139" s="15"/>
    </row>
    <row r="140" spans="1:14" x14ac:dyDescent="0.35">
      <c r="A140" s="12" t="s">
        <v>118</v>
      </c>
      <c r="B140" s="12" t="s">
        <v>33</v>
      </c>
      <c r="C140" s="4">
        <v>47.711424000000001</v>
      </c>
      <c r="D140" s="4">
        <v>-3.356427</v>
      </c>
      <c r="E140" s="8">
        <v>1819</v>
      </c>
      <c r="F140" s="8">
        <v>1819</v>
      </c>
      <c r="G140" s="9">
        <f t="shared" si="5"/>
        <v>1</v>
      </c>
      <c r="H140" s="8" t="s">
        <v>31</v>
      </c>
      <c r="I140" s="9">
        <v>0</v>
      </c>
      <c r="J140" s="8" t="s">
        <v>770</v>
      </c>
      <c r="K140" s="11" t="s">
        <v>806</v>
      </c>
      <c r="N140" s="15"/>
    </row>
    <row r="141" spans="1:14" x14ac:dyDescent="0.35">
      <c r="A141" s="12" t="s">
        <v>119</v>
      </c>
      <c r="B141" s="12" t="s">
        <v>33</v>
      </c>
      <c r="C141" s="4">
        <v>47.643773000000003</v>
      </c>
      <c r="D141" s="4">
        <v>-3.4476330000000002</v>
      </c>
      <c r="E141" s="8">
        <v>1938</v>
      </c>
      <c r="F141" s="8">
        <v>1939</v>
      </c>
      <c r="G141" s="9">
        <f t="shared" si="5"/>
        <v>2</v>
      </c>
      <c r="H141" s="8" t="s">
        <v>31</v>
      </c>
      <c r="I141" s="9">
        <v>0</v>
      </c>
      <c r="J141" s="8" t="s">
        <v>798</v>
      </c>
      <c r="K141" s="11" t="s">
        <v>806</v>
      </c>
      <c r="N141" s="15"/>
    </row>
    <row r="142" spans="1:14" x14ac:dyDescent="0.35">
      <c r="A142" s="12" t="s">
        <v>120</v>
      </c>
      <c r="B142" s="12" t="s">
        <v>33</v>
      </c>
      <c r="C142" s="4">
        <v>47.477319000000001</v>
      </c>
      <c r="D142" s="4">
        <v>-3.1245660000000002</v>
      </c>
      <c r="E142" s="8">
        <v>1923</v>
      </c>
      <c r="F142" s="8">
        <v>1927</v>
      </c>
      <c r="G142" s="9">
        <f t="shared" si="5"/>
        <v>5</v>
      </c>
      <c r="H142" s="8" t="s">
        <v>31</v>
      </c>
      <c r="I142" s="9">
        <v>0</v>
      </c>
      <c r="J142" s="8" t="s">
        <v>798</v>
      </c>
      <c r="K142" s="11" t="s">
        <v>806</v>
      </c>
      <c r="N142" s="15"/>
    </row>
    <row r="143" spans="1:14" x14ac:dyDescent="0.35">
      <c r="A143" s="12" t="s">
        <v>121</v>
      </c>
      <c r="B143" s="12" t="s">
        <v>33</v>
      </c>
      <c r="C143" s="4">
        <v>47.347523000000002</v>
      </c>
      <c r="D143" s="4">
        <v>-3.1536270000000002</v>
      </c>
      <c r="E143" s="8">
        <v>1908</v>
      </c>
      <c r="F143" s="8">
        <v>1939</v>
      </c>
      <c r="G143" s="9">
        <f t="shared" si="5"/>
        <v>4</v>
      </c>
      <c r="H143" s="8" t="s">
        <v>122</v>
      </c>
      <c r="I143" s="9">
        <v>28</v>
      </c>
      <c r="J143" s="8" t="s">
        <v>798</v>
      </c>
      <c r="K143" s="11" t="s">
        <v>806</v>
      </c>
      <c r="N143" s="15"/>
    </row>
    <row r="144" spans="1:14" x14ac:dyDescent="0.35">
      <c r="A144" s="12" t="s">
        <v>123</v>
      </c>
      <c r="B144" s="12" t="s">
        <v>33</v>
      </c>
      <c r="C144" s="4">
        <v>46.727266999999998</v>
      </c>
      <c r="D144" s="4">
        <v>-2.3496869999999999</v>
      </c>
      <c r="E144" s="8">
        <v>1967</v>
      </c>
      <c r="F144" s="8">
        <v>1967</v>
      </c>
      <c r="G144" s="9">
        <f t="shared" ref="G144:G175" si="6">(1+(F144-E144))-I144</f>
        <v>1</v>
      </c>
      <c r="H144" s="8" t="s">
        <v>31</v>
      </c>
      <c r="I144" s="9">
        <v>0</v>
      </c>
      <c r="J144" s="8" t="s">
        <v>798</v>
      </c>
      <c r="K144" s="11" t="s">
        <v>806</v>
      </c>
      <c r="N144" s="15"/>
    </row>
    <row r="145" spans="1:14" x14ac:dyDescent="0.35">
      <c r="A145" s="12" t="s">
        <v>124</v>
      </c>
      <c r="B145" s="12" t="s">
        <v>33</v>
      </c>
      <c r="C145" s="4">
        <v>47.293550000000003</v>
      </c>
      <c r="D145" s="4">
        <v>-2.5084629999999999</v>
      </c>
      <c r="E145" s="8">
        <v>1906</v>
      </c>
      <c r="F145" s="8">
        <v>1967</v>
      </c>
      <c r="G145" s="9">
        <f t="shared" si="6"/>
        <v>6</v>
      </c>
      <c r="H145" s="8" t="s">
        <v>125</v>
      </c>
      <c r="I145" s="9">
        <v>56</v>
      </c>
      <c r="J145" s="8" t="s">
        <v>798</v>
      </c>
      <c r="K145" s="11" t="s">
        <v>806</v>
      </c>
      <c r="N145" s="15"/>
    </row>
    <row r="146" spans="1:14" x14ac:dyDescent="0.35">
      <c r="A146" s="12" t="s">
        <v>126</v>
      </c>
      <c r="B146" s="12" t="s">
        <v>33</v>
      </c>
      <c r="C146" s="4">
        <v>47.290275000000001</v>
      </c>
      <c r="D146" s="4">
        <v>-2.0325980000000001</v>
      </c>
      <c r="E146" s="8">
        <v>1835</v>
      </c>
      <c r="F146" s="8">
        <v>1893</v>
      </c>
      <c r="G146" s="9">
        <f t="shared" si="6"/>
        <v>3</v>
      </c>
      <c r="H146" s="8" t="s">
        <v>127</v>
      </c>
      <c r="I146" s="9">
        <v>56</v>
      </c>
      <c r="J146" s="8" t="s">
        <v>770</v>
      </c>
      <c r="K146" s="11" t="s">
        <v>806</v>
      </c>
      <c r="N146" s="15"/>
    </row>
    <row r="147" spans="1:14" x14ac:dyDescent="0.35">
      <c r="A147" s="12" t="s">
        <v>128</v>
      </c>
      <c r="B147" s="12" t="s">
        <v>33</v>
      </c>
      <c r="C147" s="4">
        <v>46.892462000000002</v>
      </c>
      <c r="D147" s="4">
        <v>-2.1390169999999999</v>
      </c>
      <c r="E147" s="8">
        <v>1866</v>
      </c>
      <c r="F147" s="8">
        <v>1956</v>
      </c>
      <c r="G147" s="9">
        <f t="shared" si="6"/>
        <v>3</v>
      </c>
      <c r="H147" s="8" t="s">
        <v>129</v>
      </c>
      <c r="I147" s="9">
        <v>88</v>
      </c>
      <c r="J147" s="8" t="s">
        <v>798</v>
      </c>
      <c r="K147" s="11" t="s">
        <v>806</v>
      </c>
      <c r="N147" s="15"/>
    </row>
    <row r="148" spans="1:14" x14ac:dyDescent="0.35">
      <c r="A148" s="12" t="s">
        <v>130</v>
      </c>
      <c r="B148" s="12" t="s">
        <v>33</v>
      </c>
      <c r="C148" s="4">
        <v>46.694935999999998</v>
      </c>
      <c r="D148" s="4">
        <v>-1.9417409999999999</v>
      </c>
      <c r="E148" s="8">
        <v>1967</v>
      </c>
      <c r="F148" s="8">
        <v>1967</v>
      </c>
      <c r="G148" s="9">
        <f t="shared" si="6"/>
        <v>1</v>
      </c>
      <c r="H148" s="8" t="s">
        <v>31</v>
      </c>
      <c r="I148" s="9">
        <v>0</v>
      </c>
      <c r="J148" s="8" t="s">
        <v>798</v>
      </c>
      <c r="K148" s="11" t="s">
        <v>806</v>
      </c>
      <c r="N148" s="15"/>
    </row>
    <row r="149" spans="1:14" x14ac:dyDescent="0.35">
      <c r="A149" s="12" t="s">
        <v>131</v>
      </c>
      <c r="B149" s="12" t="s">
        <v>33</v>
      </c>
      <c r="C149" s="4">
        <v>46.49335</v>
      </c>
      <c r="D149" s="4">
        <v>-1.795185</v>
      </c>
      <c r="E149" s="8">
        <v>1824</v>
      </c>
      <c r="F149" s="8">
        <v>1967</v>
      </c>
      <c r="G149" s="9">
        <f t="shared" si="6"/>
        <v>3</v>
      </c>
      <c r="H149" s="8" t="s">
        <v>132</v>
      </c>
      <c r="I149" s="9">
        <v>141</v>
      </c>
      <c r="J149" s="8" t="s">
        <v>798</v>
      </c>
      <c r="K149" s="11" t="s">
        <v>806</v>
      </c>
      <c r="N149" s="15"/>
    </row>
    <row r="150" spans="1:14" x14ac:dyDescent="0.35">
      <c r="A150" s="12" t="s">
        <v>131</v>
      </c>
      <c r="B150" s="12" t="s">
        <v>33</v>
      </c>
      <c r="C150" s="4">
        <v>46.49335</v>
      </c>
      <c r="D150" s="4">
        <v>-1.795185</v>
      </c>
      <c r="E150" s="8">
        <v>1891</v>
      </c>
      <c r="F150" s="8">
        <v>1891</v>
      </c>
      <c r="G150" s="9">
        <f t="shared" si="6"/>
        <v>1</v>
      </c>
      <c r="H150" s="8" t="s">
        <v>31</v>
      </c>
      <c r="I150" s="9">
        <v>0</v>
      </c>
      <c r="J150" s="8" t="s">
        <v>770</v>
      </c>
      <c r="K150" s="11" t="s">
        <v>806</v>
      </c>
      <c r="N150" s="15"/>
    </row>
    <row r="151" spans="1:14" x14ac:dyDescent="0.35">
      <c r="A151" s="12" t="s">
        <v>133</v>
      </c>
      <c r="B151" s="12" t="s">
        <v>33</v>
      </c>
      <c r="C151" s="4">
        <v>46.20599</v>
      </c>
      <c r="D151" s="4">
        <v>-1.3679410000000001</v>
      </c>
      <c r="E151" s="8">
        <v>1963</v>
      </c>
      <c r="F151" s="8">
        <v>1963</v>
      </c>
      <c r="G151" s="9">
        <f t="shared" si="6"/>
        <v>1</v>
      </c>
      <c r="H151" s="8" t="s">
        <v>31</v>
      </c>
      <c r="I151" s="9">
        <v>0</v>
      </c>
      <c r="J151" s="8" t="s">
        <v>798</v>
      </c>
      <c r="K151" s="11" t="s">
        <v>806</v>
      </c>
      <c r="N151" s="15"/>
    </row>
    <row r="152" spans="1:14" x14ac:dyDescent="0.35">
      <c r="A152" s="12" t="s">
        <v>820</v>
      </c>
      <c r="B152" s="12" t="s">
        <v>33</v>
      </c>
      <c r="C152" s="9">
        <v>46.158031000000001</v>
      </c>
      <c r="D152" s="9">
        <v>-1.2216640000000001</v>
      </c>
      <c r="E152" s="8">
        <v>1885</v>
      </c>
      <c r="F152" s="8">
        <v>1889</v>
      </c>
      <c r="G152" s="9">
        <f t="shared" si="6"/>
        <v>5</v>
      </c>
      <c r="H152" s="8" t="s">
        <v>31</v>
      </c>
      <c r="I152" s="9">
        <v>0</v>
      </c>
      <c r="J152" s="8" t="s">
        <v>798</v>
      </c>
      <c r="K152" s="11" t="s">
        <v>806</v>
      </c>
      <c r="N152" s="15"/>
    </row>
    <row r="153" spans="1:14" x14ac:dyDescent="0.35">
      <c r="A153" s="12" t="s">
        <v>134</v>
      </c>
      <c r="B153" s="12" t="s">
        <v>33</v>
      </c>
      <c r="C153" s="9">
        <v>46.007249999999999</v>
      </c>
      <c r="D153" s="9">
        <v>-1.174269</v>
      </c>
      <c r="E153" s="8">
        <v>1960</v>
      </c>
      <c r="F153" s="8">
        <v>1964</v>
      </c>
      <c r="G153" s="9">
        <f t="shared" si="6"/>
        <v>2</v>
      </c>
      <c r="H153" s="8" t="s">
        <v>135</v>
      </c>
      <c r="I153" s="9">
        <v>3</v>
      </c>
      <c r="J153" s="8" t="s">
        <v>798</v>
      </c>
      <c r="K153" s="11" t="s">
        <v>806</v>
      </c>
      <c r="N153" s="15"/>
    </row>
    <row r="154" spans="1:14" x14ac:dyDescent="0.35">
      <c r="A154" s="12" t="s">
        <v>136</v>
      </c>
      <c r="B154" s="12" t="s">
        <v>33</v>
      </c>
      <c r="C154" s="9">
        <v>46.003768000000001</v>
      </c>
      <c r="D154" s="9">
        <v>-1.142781</v>
      </c>
      <c r="E154" s="8">
        <v>1867</v>
      </c>
      <c r="F154" s="8">
        <v>1867</v>
      </c>
      <c r="G154" s="9">
        <f t="shared" si="6"/>
        <v>0</v>
      </c>
      <c r="H154" s="8" t="s">
        <v>31</v>
      </c>
      <c r="I154" s="9">
        <v>1</v>
      </c>
      <c r="J154" s="8" t="s">
        <v>799</v>
      </c>
      <c r="K154" s="11" t="s">
        <v>806</v>
      </c>
      <c r="N154" s="15"/>
    </row>
    <row r="155" spans="1:14" x14ac:dyDescent="0.35">
      <c r="A155" s="12" t="s">
        <v>137</v>
      </c>
      <c r="B155" s="12" t="s">
        <v>33</v>
      </c>
      <c r="C155" s="9">
        <v>45.999690999999999</v>
      </c>
      <c r="D155" s="9">
        <v>-1.214251</v>
      </c>
      <c r="E155" s="8">
        <v>1876</v>
      </c>
      <c r="F155" s="8">
        <v>1908</v>
      </c>
      <c r="G155" s="9">
        <f t="shared" si="6"/>
        <v>13</v>
      </c>
      <c r="H155" s="8" t="s">
        <v>138</v>
      </c>
      <c r="I155" s="9">
        <v>20</v>
      </c>
      <c r="J155" s="8" t="s">
        <v>799</v>
      </c>
      <c r="K155" s="11" t="s">
        <v>806</v>
      </c>
      <c r="N155" s="15"/>
    </row>
    <row r="156" spans="1:14" x14ac:dyDescent="0.35">
      <c r="A156" s="12" t="s">
        <v>139</v>
      </c>
      <c r="B156" s="12" t="s">
        <v>33</v>
      </c>
      <c r="C156" s="4">
        <v>45.935276999999999</v>
      </c>
      <c r="D156" s="4">
        <v>-0.95655800000000002</v>
      </c>
      <c r="E156" s="8">
        <v>1811</v>
      </c>
      <c r="F156" s="8">
        <v>1858</v>
      </c>
      <c r="G156" s="9">
        <f t="shared" si="6"/>
        <v>28</v>
      </c>
      <c r="H156" s="8" t="s">
        <v>140</v>
      </c>
      <c r="I156" s="9">
        <v>20</v>
      </c>
      <c r="J156" s="8" t="s">
        <v>770</v>
      </c>
      <c r="K156" s="11" t="s">
        <v>806</v>
      </c>
      <c r="N156" s="15"/>
    </row>
    <row r="157" spans="1:14" x14ac:dyDescent="0.35">
      <c r="A157" s="12" t="s">
        <v>139</v>
      </c>
      <c r="B157" s="12" t="s">
        <v>33</v>
      </c>
      <c r="C157" s="4">
        <v>45.935276999999999</v>
      </c>
      <c r="D157" s="4">
        <v>-0.95655800000000002</v>
      </c>
      <c r="E157" s="8">
        <v>1859</v>
      </c>
      <c r="F157" s="8">
        <v>1918</v>
      </c>
      <c r="G157" s="9">
        <f t="shared" si="6"/>
        <v>60</v>
      </c>
      <c r="H157" s="8" t="s">
        <v>31</v>
      </c>
      <c r="I157" s="9">
        <v>0</v>
      </c>
      <c r="J157" s="8" t="s">
        <v>798</v>
      </c>
      <c r="K157" s="11" t="s">
        <v>806</v>
      </c>
      <c r="N157" s="15"/>
    </row>
    <row r="158" spans="1:14" x14ac:dyDescent="0.35">
      <c r="A158" s="12" t="s">
        <v>139</v>
      </c>
      <c r="B158" s="12" t="s">
        <v>33</v>
      </c>
      <c r="C158" s="4">
        <v>45.935276999999999</v>
      </c>
      <c r="D158" s="4">
        <v>-0.95655800000000002</v>
      </c>
      <c r="E158" s="8">
        <v>1859</v>
      </c>
      <c r="F158" s="8">
        <v>1918</v>
      </c>
      <c r="G158" s="9">
        <f t="shared" si="6"/>
        <v>44</v>
      </c>
      <c r="H158" s="8" t="s">
        <v>141</v>
      </c>
      <c r="I158" s="9">
        <v>16</v>
      </c>
      <c r="J158" s="8" t="s">
        <v>799</v>
      </c>
      <c r="K158" s="11" t="s">
        <v>806</v>
      </c>
      <c r="N158" s="15"/>
    </row>
    <row r="159" spans="1:14" x14ac:dyDescent="0.35">
      <c r="A159" s="12" t="s">
        <v>142</v>
      </c>
      <c r="B159" s="12" t="s">
        <v>33</v>
      </c>
      <c r="C159" s="4">
        <v>45.950153</v>
      </c>
      <c r="D159" s="4">
        <v>-1.0775790000000001</v>
      </c>
      <c r="E159" s="8">
        <v>1859</v>
      </c>
      <c r="F159" s="8">
        <v>1860</v>
      </c>
      <c r="G159" s="9">
        <f t="shared" si="6"/>
        <v>2</v>
      </c>
      <c r="H159" s="8" t="s">
        <v>31</v>
      </c>
      <c r="I159" s="9">
        <v>0</v>
      </c>
      <c r="J159" s="8" t="s">
        <v>770</v>
      </c>
      <c r="K159" s="11" t="s">
        <v>806</v>
      </c>
      <c r="N159" s="15"/>
    </row>
    <row r="160" spans="1:14" x14ac:dyDescent="0.35">
      <c r="A160" s="12" t="s">
        <v>143</v>
      </c>
      <c r="B160" s="12" t="s">
        <v>33</v>
      </c>
      <c r="C160" s="4">
        <v>45.957329999999999</v>
      </c>
      <c r="D160" s="4">
        <v>-0.99222100000000002</v>
      </c>
      <c r="E160" s="8">
        <v>1824</v>
      </c>
      <c r="F160" s="8">
        <v>1824</v>
      </c>
      <c r="G160" s="9">
        <f t="shared" si="6"/>
        <v>1</v>
      </c>
      <c r="H160" s="8" t="s">
        <v>31</v>
      </c>
      <c r="I160" s="9">
        <v>0</v>
      </c>
      <c r="J160" s="8" t="s">
        <v>798</v>
      </c>
      <c r="K160" s="11" t="s">
        <v>806</v>
      </c>
      <c r="N160" s="15"/>
    </row>
    <row r="161" spans="1:14" x14ac:dyDescent="0.35">
      <c r="A161" s="12" t="s">
        <v>144</v>
      </c>
      <c r="B161" s="12" t="s">
        <v>33</v>
      </c>
      <c r="C161" s="4">
        <v>45.856996000000002</v>
      </c>
      <c r="D161" s="4">
        <v>-1.1740710000000001</v>
      </c>
      <c r="E161" s="8">
        <v>1878</v>
      </c>
      <c r="F161" s="8">
        <v>1878</v>
      </c>
      <c r="G161" s="9">
        <f t="shared" si="6"/>
        <v>1</v>
      </c>
      <c r="H161" s="8" t="s">
        <v>31</v>
      </c>
      <c r="I161" s="9">
        <v>0</v>
      </c>
      <c r="J161" s="8" t="s">
        <v>798</v>
      </c>
      <c r="K161" s="11" t="s">
        <v>806</v>
      </c>
      <c r="N161" s="15"/>
    </row>
    <row r="162" spans="1:14" x14ac:dyDescent="0.35">
      <c r="A162" s="12" t="s">
        <v>145</v>
      </c>
      <c r="B162" s="12" t="s">
        <v>33</v>
      </c>
      <c r="C162" s="4">
        <v>46.212578999999998</v>
      </c>
      <c r="D162" s="4">
        <v>-0.82170900000000002</v>
      </c>
      <c r="E162" s="8">
        <v>1878</v>
      </c>
      <c r="F162" s="8">
        <v>1878</v>
      </c>
      <c r="G162" s="9">
        <f t="shared" si="6"/>
        <v>1</v>
      </c>
      <c r="H162" s="8" t="s">
        <v>31</v>
      </c>
      <c r="I162" s="9">
        <v>0</v>
      </c>
      <c r="J162" s="8" t="s">
        <v>798</v>
      </c>
      <c r="K162" s="11" t="s">
        <v>806</v>
      </c>
      <c r="N162" s="15"/>
    </row>
    <row r="163" spans="1:14" x14ac:dyDescent="0.35">
      <c r="A163" s="12" t="s">
        <v>146</v>
      </c>
      <c r="B163" s="12" t="s">
        <v>33</v>
      </c>
      <c r="C163" s="4">
        <v>45.693395000000002</v>
      </c>
      <c r="D163" s="4">
        <v>-1.2354000000000001</v>
      </c>
      <c r="E163" s="8">
        <v>1874</v>
      </c>
      <c r="F163" s="8">
        <v>1924</v>
      </c>
      <c r="G163" s="9">
        <f t="shared" si="6"/>
        <v>3</v>
      </c>
      <c r="H163" s="8" t="s">
        <v>147</v>
      </c>
      <c r="I163" s="9">
        <v>48</v>
      </c>
      <c r="J163" s="8" t="s">
        <v>798</v>
      </c>
      <c r="K163" s="11" t="s">
        <v>806</v>
      </c>
      <c r="N163" s="15"/>
    </row>
    <row r="164" spans="1:14" x14ac:dyDescent="0.35">
      <c r="A164" s="12" t="s">
        <v>148</v>
      </c>
      <c r="B164" s="12" t="s">
        <v>33</v>
      </c>
      <c r="C164" s="4">
        <v>45.959989</v>
      </c>
      <c r="D164" s="4">
        <v>-1.241784</v>
      </c>
      <c r="E164" s="8">
        <v>1878</v>
      </c>
      <c r="F164" s="8">
        <v>1964</v>
      </c>
      <c r="G164" s="9">
        <f t="shared" si="6"/>
        <v>3</v>
      </c>
      <c r="H164" s="8" t="s">
        <v>149</v>
      </c>
      <c r="I164" s="9">
        <v>84</v>
      </c>
      <c r="J164" s="8" t="s">
        <v>798</v>
      </c>
      <c r="K164" s="11" t="s">
        <v>806</v>
      </c>
      <c r="N164" s="15"/>
    </row>
    <row r="165" spans="1:14" x14ac:dyDescent="0.35">
      <c r="A165" s="12" t="s">
        <v>150</v>
      </c>
      <c r="B165" s="12" t="s">
        <v>33</v>
      </c>
      <c r="C165" s="4">
        <v>46.035539999999997</v>
      </c>
      <c r="D165" s="4">
        <v>-1.369747</v>
      </c>
      <c r="E165" s="8">
        <v>1882</v>
      </c>
      <c r="F165" s="8">
        <v>1882</v>
      </c>
      <c r="G165" s="9">
        <f t="shared" si="6"/>
        <v>1</v>
      </c>
      <c r="H165" s="8" t="s">
        <v>31</v>
      </c>
      <c r="I165" s="9">
        <v>0</v>
      </c>
      <c r="J165" s="8" t="s">
        <v>798</v>
      </c>
      <c r="K165" s="11" t="s">
        <v>806</v>
      </c>
      <c r="N165" s="15"/>
    </row>
    <row r="166" spans="1:14" x14ac:dyDescent="0.35">
      <c r="A166" s="12" t="s">
        <v>151</v>
      </c>
      <c r="B166" s="12" t="s">
        <v>33</v>
      </c>
      <c r="C166" s="4">
        <v>45.965671</v>
      </c>
      <c r="D166" s="4">
        <v>-1.2411000000000001</v>
      </c>
      <c r="E166" s="8">
        <v>1882</v>
      </c>
      <c r="F166" s="8">
        <v>1882</v>
      </c>
      <c r="G166" s="9">
        <f t="shared" si="6"/>
        <v>1</v>
      </c>
      <c r="H166" s="8" t="s">
        <v>31</v>
      </c>
      <c r="I166" s="9">
        <v>0</v>
      </c>
      <c r="J166" s="8" t="s">
        <v>798</v>
      </c>
      <c r="K166" s="11" t="s">
        <v>806</v>
      </c>
      <c r="N166" s="15"/>
    </row>
    <row r="167" spans="1:14" x14ac:dyDescent="0.35">
      <c r="A167" s="12" t="s">
        <v>152</v>
      </c>
      <c r="B167" s="12" t="s">
        <v>33</v>
      </c>
      <c r="C167" s="4">
        <v>45.884109000000002</v>
      </c>
      <c r="D167" s="4">
        <v>-1.1936990000000001</v>
      </c>
      <c r="E167" s="8">
        <v>1878</v>
      </c>
      <c r="F167" s="8">
        <v>1882</v>
      </c>
      <c r="G167" s="9">
        <f t="shared" si="6"/>
        <v>2</v>
      </c>
      <c r="H167" s="8" t="s">
        <v>153</v>
      </c>
      <c r="I167" s="9">
        <v>3</v>
      </c>
      <c r="J167" s="8" t="s">
        <v>798</v>
      </c>
      <c r="K167" s="11" t="s">
        <v>806</v>
      </c>
      <c r="N167" s="15"/>
    </row>
    <row r="168" spans="1:14" x14ac:dyDescent="0.35">
      <c r="A168" s="12" t="s">
        <v>154</v>
      </c>
      <c r="B168" s="12" t="s">
        <v>33</v>
      </c>
      <c r="C168" s="4">
        <v>45.899037</v>
      </c>
      <c r="D168" s="4">
        <v>-1.2975969999999999</v>
      </c>
      <c r="E168" s="8">
        <v>1882</v>
      </c>
      <c r="F168" s="8">
        <v>1882</v>
      </c>
      <c r="G168" s="9">
        <f t="shared" si="6"/>
        <v>1</v>
      </c>
      <c r="H168" s="8" t="s">
        <v>31</v>
      </c>
      <c r="I168" s="9">
        <v>0</v>
      </c>
      <c r="J168" s="8" t="s">
        <v>798</v>
      </c>
      <c r="K168" s="11" t="s">
        <v>806</v>
      </c>
      <c r="N168" s="15"/>
    </row>
    <row r="169" spans="1:14" x14ac:dyDescent="0.35">
      <c r="A169" s="12" t="s">
        <v>155</v>
      </c>
      <c r="B169" s="12" t="s">
        <v>33</v>
      </c>
      <c r="C169" s="4">
        <v>45.844937000000002</v>
      </c>
      <c r="D169" s="4">
        <v>-1.2088049999999999</v>
      </c>
      <c r="E169" s="8">
        <v>1946</v>
      </c>
      <c r="F169" s="8">
        <v>1946</v>
      </c>
      <c r="G169" s="9">
        <f t="shared" si="6"/>
        <v>1</v>
      </c>
      <c r="H169" s="8" t="s">
        <v>31</v>
      </c>
      <c r="I169" s="9">
        <v>0</v>
      </c>
      <c r="J169" s="8" t="s">
        <v>798</v>
      </c>
      <c r="K169" s="11" t="s">
        <v>806</v>
      </c>
      <c r="N169" s="15"/>
    </row>
    <row r="170" spans="1:14" x14ac:dyDescent="0.35">
      <c r="A170" s="12" t="s">
        <v>156</v>
      </c>
      <c r="B170" s="12" t="s">
        <v>33</v>
      </c>
      <c r="C170" s="4">
        <v>47.361910000000002</v>
      </c>
      <c r="D170" s="4">
        <v>-1.179082</v>
      </c>
      <c r="E170" s="8">
        <v>1813</v>
      </c>
      <c r="F170" s="8">
        <v>1813</v>
      </c>
      <c r="G170" s="9">
        <f t="shared" si="6"/>
        <v>1</v>
      </c>
      <c r="H170" s="8" t="s">
        <v>31</v>
      </c>
      <c r="I170" s="9">
        <v>0</v>
      </c>
      <c r="J170" s="8" t="s">
        <v>798</v>
      </c>
      <c r="K170" s="11" t="s">
        <v>806</v>
      </c>
      <c r="N170" s="15"/>
    </row>
    <row r="171" spans="1:14" x14ac:dyDescent="0.35">
      <c r="A171" s="12" t="s">
        <v>157</v>
      </c>
      <c r="B171" s="12" t="s">
        <v>33</v>
      </c>
      <c r="C171" s="4">
        <v>45.618830000000003</v>
      </c>
      <c r="D171" s="4">
        <v>-1.032014</v>
      </c>
      <c r="E171" s="8">
        <v>1812</v>
      </c>
      <c r="F171" s="8">
        <v>1924</v>
      </c>
      <c r="G171" s="9">
        <f t="shared" si="6"/>
        <v>9</v>
      </c>
      <c r="H171" s="8" t="s">
        <v>158</v>
      </c>
      <c r="I171" s="9">
        <v>104</v>
      </c>
      <c r="J171" s="8" t="s">
        <v>798</v>
      </c>
      <c r="K171" s="11" t="s">
        <v>806</v>
      </c>
      <c r="N171" s="15"/>
    </row>
    <row r="172" spans="1:14" x14ac:dyDescent="0.35">
      <c r="A172" s="12" t="s">
        <v>159</v>
      </c>
      <c r="B172" s="12" t="s">
        <v>33</v>
      </c>
      <c r="C172" s="4">
        <v>46.466222000000002</v>
      </c>
      <c r="D172" s="4">
        <v>-1.617497</v>
      </c>
      <c r="E172" s="8">
        <v>1878</v>
      </c>
      <c r="F172" s="8">
        <v>1892</v>
      </c>
      <c r="G172" s="9">
        <f t="shared" si="6"/>
        <v>2</v>
      </c>
      <c r="H172" s="8" t="s">
        <v>160</v>
      </c>
      <c r="I172" s="9">
        <v>13</v>
      </c>
      <c r="J172" s="8" t="s">
        <v>798</v>
      </c>
      <c r="K172" s="11" t="s">
        <v>806</v>
      </c>
      <c r="N172" s="15"/>
    </row>
    <row r="173" spans="1:14" x14ac:dyDescent="0.35">
      <c r="A173" s="12" t="s">
        <v>161</v>
      </c>
      <c r="B173" s="12" t="s">
        <v>33</v>
      </c>
      <c r="C173" s="4">
        <v>45.476430999999998</v>
      </c>
      <c r="D173" s="4">
        <v>-0.79508500000000004</v>
      </c>
      <c r="E173" s="8">
        <v>1868</v>
      </c>
      <c r="F173" s="8">
        <v>1892</v>
      </c>
      <c r="G173" s="9">
        <f t="shared" si="6"/>
        <v>3</v>
      </c>
      <c r="H173" s="8" t="s">
        <v>162</v>
      </c>
      <c r="I173" s="9">
        <v>22</v>
      </c>
      <c r="J173" s="8" t="s">
        <v>798</v>
      </c>
      <c r="K173" s="11" t="s">
        <v>806</v>
      </c>
      <c r="N173" s="15"/>
    </row>
    <row r="174" spans="1:14" x14ac:dyDescent="0.35">
      <c r="A174" s="12" t="s">
        <v>163</v>
      </c>
      <c r="B174" s="12" t="s">
        <v>33</v>
      </c>
      <c r="C174" s="4">
        <v>45.515571999999999</v>
      </c>
      <c r="D174" s="4">
        <v>-0.97394700000000001</v>
      </c>
      <c r="E174" s="8">
        <v>1949</v>
      </c>
      <c r="F174" s="8">
        <v>1950</v>
      </c>
      <c r="G174" s="9">
        <f t="shared" si="6"/>
        <v>2</v>
      </c>
      <c r="H174" s="8" t="s">
        <v>31</v>
      </c>
      <c r="I174" s="9">
        <v>0</v>
      </c>
      <c r="J174" s="8" t="s">
        <v>798</v>
      </c>
      <c r="K174" s="11" t="s">
        <v>806</v>
      </c>
      <c r="N174" s="15"/>
    </row>
    <row r="175" spans="1:14" x14ac:dyDescent="0.35">
      <c r="A175" s="12" t="s">
        <v>164</v>
      </c>
      <c r="B175" s="12" t="s">
        <v>33</v>
      </c>
      <c r="C175" s="4">
        <v>45.145063999999998</v>
      </c>
      <c r="D175" s="4">
        <v>-0.71898099999999998</v>
      </c>
      <c r="E175" s="8">
        <v>1892</v>
      </c>
      <c r="F175" s="8">
        <v>1892</v>
      </c>
      <c r="G175" s="9">
        <f t="shared" si="6"/>
        <v>1</v>
      </c>
      <c r="H175" s="8" t="s">
        <v>31</v>
      </c>
      <c r="I175" s="9">
        <v>0</v>
      </c>
      <c r="J175" s="8" t="s">
        <v>798</v>
      </c>
      <c r="K175" s="11" t="s">
        <v>806</v>
      </c>
      <c r="N175" s="15"/>
    </row>
    <row r="176" spans="1:14" x14ac:dyDescent="0.35">
      <c r="A176" s="12" t="s">
        <v>165</v>
      </c>
      <c r="B176" s="12" t="s">
        <v>33</v>
      </c>
      <c r="C176" s="4">
        <v>45.125233999999999</v>
      </c>
      <c r="D176" s="4">
        <v>-0.66584900000000002</v>
      </c>
      <c r="E176" s="8">
        <v>1825</v>
      </c>
      <c r="F176" s="8">
        <v>1892</v>
      </c>
      <c r="G176" s="9">
        <f t="shared" ref="G176:G207" si="7">(1+(F176-E176))-I176</f>
        <v>2</v>
      </c>
      <c r="H176" s="8" t="s">
        <v>166</v>
      </c>
      <c r="I176" s="9">
        <v>66</v>
      </c>
      <c r="J176" s="8" t="s">
        <v>798</v>
      </c>
      <c r="K176" s="11" t="s">
        <v>806</v>
      </c>
      <c r="N176" s="15"/>
    </row>
    <row r="177" spans="1:14" x14ac:dyDescent="0.35">
      <c r="A177" s="12" t="s">
        <v>165</v>
      </c>
      <c r="B177" s="12" t="s">
        <v>33</v>
      </c>
      <c r="C177" s="4">
        <v>45.125233999999999</v>
      </c>
      <c r="D177" s="4">
        <v>-0.66584900000000002</v>
      </c>
      <c r="E177" s="8">
        <v>1874</v>
      </c>
      <c r="F177" s="8">
        <v>1874</v>
      </c>
      <c r="G177" s="9">
        <f t="shared" si="7"/>
        <v>1</v>
      </c>
      <c r="H177" s="8" t="s">
        <v>31</v>
      </c>
      <c r="I177" s="9">
        <v>0</v>
      </c>
      <c r="J177" s="8" t="s">
        <v>799</v>
      </c>
      <c r="K177" s="11" t="s">
        <v>806</v>
      </c>
      <c r="N177" s="15"/>
    </row>
    <row r="178" spans="1:14" x14ac:dyDescent="0.35">
      <c r="A178" s="12" t="s">
        <v>167</v>
      </c>
      <c r="B178" s="12" t="s">
        <v>33</v>
      </c>
      <c r="C178" s="4">
        <v>45.567906000000001</v>
      </c>
      <c r="D178" s="4">
        <v>-1.064014</v>
      </c>
      <c r="E178" s="8">
        <v>1874</v>
      </c>
      <c r="F178" s="8">
        <v>1892</v>
      </c>
      <c r="G178" s="9">
        <f t="shared" si="7"/>
        <v>2</v>
      </c>
      <c r="H178" s="8" t="s">
        <v>168</v>
      </c>
      <c r="I178" s="9">
        <v>17</v>
      </c>
      <c r="J178" s="8" t="s">
        <v>799</v>
      </c>
      <c r="K178" s="11" t="s">
        <v>806</v>
      </c>
      <c r="N178" s="15"/>
    </row>
    <row r="179" spans="1:14" x14ac:dyDescent="0.35">
      <c r="A179" s="12" t="s">
        <v>169</v>
      </c>
      <c r="B179" s="12" t="s">
        <v>33</v>
      </c>
      <c r="C179" s="4">
        <v>44.839246000000003</v>
      </c>
      <c r="D179" s="4">
        <v>-0.56729799999999997</v>
      </c>
      <c r="E179" s="8">
        <v>1825</v>
      </c>
      <c r="F179" s="8">
        <v>1874</v>
      </c>
      <c r="G179" s="9">
        <f t="shared" si="7"/>
        <v>2</v>
      </c>
      <c r="H179" s="8" t="s">
        <v>170</v>
      </c>
      <c r="I179" s="9">
        <v>48</v>
      </c>
      <c r="J179" s="8" t="s">
        <v>798</v>
      </c>
      <c r="K179" s="11" t="s">
        <v>806</v>
      </c>
      <c r="N179" s="15"/>
    </row>
    <row r="180" spans="1:14" x14ac:dyDescent="0.35">
      <c r="A180" s="12" t="s">
        <v>171</v>
      </c>
      <c r="B180" s="12" t="s">
        <v>33</v>
      </c>
      <c r="C180" s="4">
        <v>45.040447999999998</v>
      </c>
      <c r="D180" s="4">
        <v>-0.60406899999999997</v>
      </c>
      <c r="E180" s="8">
        <v>1813</v>
      </c>
      <c r="F180" s="8">
        <v>1825</v>
      </c>
      <c r="G180" s="9">
        <f t="shared" si="7"/>
        <v>2</v>
      </c>
      <c r="H180" s="8" t="s">
        <v>172</v>
      </c>
      <c r="I180" s="9">
        <v>11</v>
      </c>
      <c r="J180" s="8" t="s">
        <v>798</v>
      </c>
      <c r="K180" s="11" t="s">
        <v>806</v>
      </c>
      <c r="N180" s="15"/>
    </row>
    <row r="181" spans="1:14" x14ac:dyDescent="0.35">
      <c r="A181" s="12" t="s">
        <v>173</v>
      </c>
      <c r="B181" s="12" t="s">
        <v>33</v>
      </c>
      <c r="C181" s="4">
        <v>45.205176000000002</v>
      </c>
      <c r="D181" s="4">
        <v>-0.74901899999999999</v>
      </c>
      <c r="E181" s="8">
        <v>1867</v>
      </c>
      <c r="F181" s="8">
        <v>1892</v>
      </c>
      <c r="G181" s="9">
        <f t="shared" si="7"/>
        <v>4</v>
      </c>
      <c r="H181" s="8" t="s">
        <v>174</v>
      </c>
      <c r="I181" s="9">
        <v>22</v>
      </c>
      <c r="J181" s="8" t="s">
        <v>798</v>
      </c>
      <c r="K181" s="11" t="s">
        <v>806</v>
      </c>
      <c r="N181" s="15"/>
    </row>
    <row r="182" spans="1:14" x14ac:dyDescent="0.35">
      <c r="A182" s="12" t="s">
        <v>175</v>
      </c>
      <c r="B182" s="12" t="s">
        <v>33</v>
      </c>
      <c r="C182" s="4">
        <v>45.309538000000003</v>
      </c>
      <c r="D182" s="4">
        <v>-0.78239899999999996</v>
      </c>
      <c r="E182" s="8">
        <v>1812</v>
      </c>
      <c r="F182" s="8">
        <v>1892</v>
      </c>
      <c r="G182" s="9">
        <f t="shared" si="7"/>
        <v>5</v>
      </c>
      <c r="H182" s="8" t="s">
        <v>176</v>
      </c>
      <c r="I182" s="9">
        <v>76</v>
      </c>
      <c r="J182" s="8" t="s">
        <v>798</v>
      </c>
      <c r="K182" s="11" t="s">
        <v>806</v>
      </c>
      <c r="N182" s="15"/>
    </row>
    <row r="183" spans="1:14" x14ac:dyDescent="0.35">
      <c r="A183" s="12" t="s">
        <v>177</v>
      </c>
      <c r="B183" s="12" t="s">
        <v>33</v>
      </c>
      <c r="C183" s="4">
        <v>45.375498999999998</v>
      </c>
      <c r="D183" s="4">
        <v>-0.84513000000000005</v>
      </c>
      <c r="E183" s="8">
        <v>1874</v>
      </c>
      <c r="F183" s="8">
        <v>1892</v>
      </c>
      <c r="G183" s="9">
        <f t="shared" si="7"/>
        <v>2</v>
      </c>
      <c r="H183" s="8" t="s">
        <v>168</v>
      </c>
      <c r="I183" s="9">
        <v>17</v>
      </c>
      <c r="J183" s="8" t="s">
        <v>798</v>
      </c>
      <c r="K183" s="11" t="s">
        <v>806</v>
      </c>
      <c r="N183" s="15"/>
    </row>
    <row r="184" spans="1:14" x14ac:dyDescent="0.35">
      <c r="A184" s="12" t="s">
        <v>178</v>
      </c>
      <c r="B184" s="12" t="s">
        <v>33</v>
      </c>
      <c r="C184" s="4">
        <v>45.567230000000002</v>
      </c>
      <c r="D184" s="4">
        <v>-1.064748</v>
      </c>
      <c r="E184" s="8">
        <v>1868</v>
      </c>
      <c r="F184" s="8">
        <v>1961</v>
      </c>
      <c r="G184" s="9">
        <f t="shared" si="7"/>
        <v>5</v>
      </c>
      <c r="H184" s="8" t="s">
        <v>179</v>
      </c>
      <c r="I184" s="9">
        <v>89</v>
      </c>
      <c r="J184" s="8" t="s">
        <v>798</v>
      </c>
      <c r="K184" s="11" t="s">
        <v>806</v>
      </c>
      <c r="N184" s="15"/>
    </row>
    <row r="185" spans="1:14" x14ac:dyDescent="0.35">
      <c r="A185" s="12" t="s">
        <v>180</v>
      </c>
      <c r="B185" s="12" t="s">
        <v>33</v>
      </c>
      <c r="C185" s="4">
        <v>45.586212000000003</v>
      </c>
      <c r="D185" s="4">
        <v>-1.173341</v>
      </c>
      <c r="E185" s="8">
        <v>1812</v>
      </c>
      <c r="F185" s="8">
        <v>1924</v>
      </c>
      <c r="G185" s="9">
        <f t="shared" si="7"/>
        <v>9</v>
      </c>
      <c r="H185" s="8" t="s">
        <v>181</v>
      </c>
      <c r="I185" s="9">
        <v>104</v>
      </c>
      <c r="J185" s="8" t="s">
        <v>798</v>
      </c>
      <c r="K185" s="11" t="s">
        <v>806</v>
      </c>
      <c r="N185" s="15"/>
    </row>
    <row r="186" spans="1:14" x14ac:dyDescent="0.35">
      <c r="A186" s="12" t="s">
        <v>180</v>
      </c>
      <c r="B186" s="12" t="s">
        <v>33</v>
      </c>
      <c r="C186" s="4">
        <v>45.586212000000003</v>
      </c>
      <c r="D186" s="4">
        <v>-1.173341</v>
      </c>
      <c r="E186" s="8">
        <v>1912</v>
      </c>
      <c r="F186" s="8">
        <v>1917</v>
      </c>
      <c r="G186" s="9">
        <f t="shared" si="7"/>
        <v>6</v>
      </c>
      <c r="H186" s="8" t="s">
        <v>31</v>
      </c>
      <c r="I186" s="9">
        <v>0</v>
      </c>
      <c r="J186" s="8" t="s">
        <v>799</v>
      </c>
      <c r="K186" s="11" t="s">
        <v>806</v>
      </c>
      <c r="N186" s="15"/>
    </row>
    <row r="187" spans="1:14" x14ac:dyDescent="0.35">
      <c r="A187" s="12" t="s">
        <v>182</v>
      </c>
      <c r="B187" s="12" t="s">
        <v>33</v>
      </c>
      <c r="C187" s="4">
        <v>44.665306999999999</v>
      </c>
      <c r="D187" s="4">
        <v>-1.1923029999999999</v>
      </c>
      <c r="E187" s="8">
        <v>1825</v>
      </c>
      <c r="F187" s="8">
        <v>1931</v>
      </c>
      <c r="G187" s="9">
        <f t="shared" si="7"/>
        <v>5</v>
      </c>
      <c r="H187" s="8" t="s">
        <v>183</v>
      </c>
      <c r="I187" s="9">
        <v>102</v>
      </c>
      <c r="J187" s="8" t="s">
        <v>798</v>
      </c>
      <c r="K187" s="11" t="s">
        <v>806</v>
      </c>
      <c r="N187" s="15"/>
    </row>
    <row r="188" spans="1:14" x14ac:dyDescent="0.35">
      <c r="A188" s="12" t="s">
        <v>184</v>
      </c>
      <c r="B188" s="12" t="s">
        <v>33</v>
      </c>
      <c r="C188" s="4">
        <v>44.664963</v>
      </c>
      <c r="D188" s="4">
        <v>-1.1636249999999999</v>
      </c>
      <c r="E188" s="8">
        <v>1892</v>
      </c>
      <c r="F188" s="8">
        <v>1967</v>
      </c>
      <c r="G188" s="9">
        <f t="shared" si="7"/>
        <v>2</v>
      </c>
      <c r="H188" s="8" t="s">
        <v>185</v>
      </c>
      <c r="I188" s="9">
        <v>74</v>
      </c>
      <c r="J188" s="8" t="s">
        <v>798</v>
      </c>
      <c r="K188" s="11" t="s">
        <v>806</v>
      </c>
      <c r="N188" s="15"/>
    </row>
    <row r="189" spans="1:14" x14ac:dyDescent="0.35">
      <c r="A189" s="12" t="s">
        <v>186</v>
      </c>
      <c r="B189" s="12" t="s">
        <v>33</v>
      </c>
      <c r="C189" s="4">
        <v>44.599946000000003</v>
      </c>
      <c r="D189" s="4">
        <v>-1.2114860000000001</v>
      </c>
      <c r="E189" s="8">
        <v>1964</v>
      </c>
      <c r="F189" s="8">
        <v>1964</v>
      </c>
      <c r="G189" s="9">
        <f t="shared" si="7"/>
        <v>1</v>
      </c>
      <c r="H189" s="8" t="s">
        <v>31</v>
      </c>
      <c r="I189" s="9">
        <v>0</v>
      </c>
      <c r="J189" s="8" t="s">
        <v>798</v>
      </c>
      <c r="K189" s="11" t="s">
        <v>806</v>
      </c>
      <c r="N189" s="15"/>
    </row>
    <row r="190" spans="1:14" x14ac:dyDescent="0.35">
      <c r="A190" s="12" t="s">
        <v>187</v>
      </c>
      <c r="B190" s="12" t="s">
        <v>33</v>
      </c>
      <c r="C190" s="4">
        <v>43.522545000000001</v>
      </c>
      <c r="D190" s="4">
        <v>-1.4910859999999999</v>
      </c>
      <c r="E190" s="8">
        <v>1919</v>
      </c>
      <c r="F190" s="8">
        <v>1919</v>
      </c>
      <c r="G190" s="9">
        <f t="shared" si="7"/>
        <v>1</v>
      </c>
      <c r="H190" s="8" t="s">
        <v>31</v>
      </c>
      <c r="I190" s="9">
        <v>0</v>
      </c>
      <c r="J190" s="8" t="s">
        <v>798</v>
      </c>
      <c r="K190" s="11" t="s">
        <v>806</v>
      </c>
      <c r="N190" s="15"/>
    </row>
    <row r="191" spans="1:14" x14ac:dyDescent="0.35">
      <c r="A191" s="12" t="s">
        <v>187</v>
      </c>
      <c r="B191" s="12" t="s">
        <v>33</v>
      </c>
      <c r="C191" s="4">
        <v>43.522545000000001</v>
      </c>
      <c r="D191" s="4">
        <v>-1.4910859999999999</v>
      </c>
      <c r="E191" s="8">
        <v>1899</v>
      </c>
      <c r="F191" s="8">
        <v>1904</v>
      </c>
      <c r="G191" s="9">
        <f t="shared" si="7"/>
        <v>6</v>
      </c>
      <c r="H191" s="8" t="s">
        <v>31</v>
      </c>
      <c r="I191" s="9">
        <v>0</v>
      </c>
      <c r="J191" s="8" t="s">
        <v>770</v>
      </c>
      <c r="K191" s="11" t="s">
        <v>806</v>
      </c>
      <c r="N191" s="15"/>
    </row>
    <row r="192" spans="1:14" x14ac:dyDescent="0.35">
      <c r="A192" s="12" t="s">
        <v>188</v>
      </c>
      <c r="B192" s="12" t="s">
        <v>33</v>
      </c>
      <c r="C192" s="4">
        <v>43.387557000000001</v>
      </c>
      <c r="D192" s="4">
        <v>-1.6689099999999999</v>
      </c>
      <c r="E192" s="8">
        <v>1826</v>
      </c>
      <c r="F192" s="8">
        <v>1979</v>
      </c>
      <c r="G192" s="9">
        <f t="shared" si="7"/>
        <v>26</v>
      </c>
      <c r="H192" s="8" t="s">
        <v>189</v>
      </c>
      <c r="I192" s="9">
        <v>128</v>
      </c>
      <c r="J192" s="8" t="s">
        <v>798</v>
      </c>
      <c r="K192" s="11" t="s">
        <v>806</v>
      </c>
      <c r="N192" s="15"/>
    </row>
    <row r="193" spans="1:14" x14ac:dyDescent="0.35">
      <c r="A193" s="12" t="s">
        <v>190</v>
      </c>
      <c r="B193" s="12" t="s">
        <v>33</v>
      </c>
      <c r="C193" s="9">
        <v>43.395269999999996</v>
      </c>
      <c r="D193" s="9">
        <v>-1.6816420000000001</v>
      </c>
      <c r="E193" s="8">
        <v>1900</v>
      </c>
      <c r="F193" s="8">
        <v>1917</v>
      </c>
      <c r="G193" s="9">
        <f t="shared" si="7"/>
        <v>18</v>
      </c>
      <c r="H193" s="8" t="s">
        <v>31</v>
      </c>
      <c r="I193" s="9">
        <v>0</v>
      </c>
      <c r="J193" s="8" t="s">
        <v>799</v>
      </c>
      <c r="K193" s="11" t="s">
        <v>806</v>
      </c>
      <c r="N193" s="15"/>
    </row>
    <row r="194" spans="1:14" x14ac:dyDescent="0.35">
      <c r="A194" s="12" t="s">
        <v>191</v>
      </c>
      <c r="B194" s="12" t="s">
        <v>33</v>
      </c>
      <c r="C194" s="4">
        <v>43.494514000000002</v>
      </c>
      <c r="D194" s="4">
        <v>-1.4736659999999999</v>
      </c>
      <c r="E194" s="8">
        <v>1826</v>
      </c>
      <c r="F194" s="8">
        <v>1963</v>
      </c>
      <c r="G194" s="9">
        <f t="shared" si="7"/>
        <v>3</v>
      </c>
      <c r="H194" s="8" t="s">
        <v>192</v>
      </c>
      <c r="I194" s="9">
        <v>135</v>
      </c>
      <c r="J194" s="8" t="s">
        <v>798</v>
      </c>
      <c r="K194" s="11" t="s">
        <v>806</v>
      </c>
      <c r="N194" s="15"/>
    </row>
    <row r="195" spans="1:14" x14ac:dyDescent="0.35">
      <c r="A195" s="12" t="s">
        <v>193</v>
      </c>
      <c r="B195" s="12" t="s">
        <v>33</v>
      </c>
      <c r="C195" s="4">
        <v>43.461005999999998</v>
      </c>
      <c r="D195" s="4">
        <v>4.3350220000000004</v>
      </c>
      <c r="E195" s="8">
        <v>1958</v>
      </c>
      <c r="F195" s="8">
        <v>1960</v>
      </c>
      <c r="G195" s="9">
        <f t="shared" si="7"/>
        <v>3</v>
      </c>
      <c r="H195" s="8" t="s">
        <v>31</v>
      </c>
      <c r="I195" s="9">
        <v>0</v>
      </c>
      <c r="J195" s="8" t="s">
        <v>798</v>
      </c>
      <c r="K195" s="11" t="s">
        <v>806</v>
      </c>
      <c r="N195" s="15"/>
    </row>
    <row r="196" spans="1:14" x14ac:dyDescent="0.35">
      <c r="A196" s="12" t="s">
        <v>194</v>
      </c>
      <c r="B196" s="12" t="s">
        <v>33</v>
      </c>
      <c r="C196" s="4">
        <v>43.253667</v>
      </c>
      <c r="D196" s="4">
        <v>5.3237909999999999</v>
      </c>
      <c r="E196" s="8">
        <v>1937</v>
      </c>
      <c r="F196" s="8">
        <v>1937</v>
      </c>
      <c r="G196" s="9">
        <f t="shared" si="7"/>
        <v>1</v>
      </c>
      <c r="H196" s="8" t="s">
        <v>31</v>
      </c>
      <c r="I196" s="9">
        <v>0</v>
      </c>
      <c r="J196" s="8" t="s">
        <v>798</v>
      </c>
      <c r="K196" s="11" t="s">
        <v>806</v>
      </c>
      <c r="N196" s="15"/>
    </row>
    <row r="197" spans="1:14" x14ac:dyDescent="0.35">
      <c r="A197" s="12" t="s">
        <v>195</v>
      </c>
      <c r="B197" s="12" t="s">
        <v>33</v>
      </c>
      <c r="C197" s="4">
        <v>42.480808000000003</v>
      </c>
      <c r="D197" s="4">
        <v>3.1308099999999999</v>
      </c>
      <c r="E197" s="8">
        <v>1963</v>
      </c>
      <c r="F197" s="8">
        <v>1963</v>
      </c>
      <c r="G197" s="9">
        <f t="shared" si="7"/>
        <v>1</v>
      </c>
      <c r="H197" s="8" t="s">
        <v>31</v>
      </c>
      <c r="I197" s="9">
        <v>0</v>
      </c>
      <c r="J197" s="8" t="s">
        <v>798</v>
      </c>
      <c r="K197" s="11" t="s">
        <v>806</v>
      </c>
      <c r="N197" s="15"/>
    </row>
    <row r="198" spans="1:14" x14ac:dyDescent="0.35">
      <c r="A198" s="12" t="s">
        <v>196</v>
      </c>
      <c r="B198" s="12" t="s">
        <v>33</v>
      </c>
      <c r="C198" s="4">
        <v>42.521191999999999</v>
      </c>
      <c r="D198" s="4">
        <v>3.1138979999999998</v>
      </c>
      <c r="E198" s="8">
        <v>1895</v>
      </c>
      <c r="F198" s="8">
        <v>1951</v>
      </c>
      <c r="G198" s="9">
        <f t="shared" si="7"/>
        <v>3</v>
      </c>
      <c r="H198" s="8" t="s">
        <v>197</v>
      </c>
      <c r="I198" s="9">
        <v>54</v>
      </c>
      <c r="J198" s="8" t="s">
        <v>798</v>
      </c>
      <c r="K198" s="11" t="s">
        <v>806</v>
      </c>
      <c r="N198" s="15"/>
    </row>
    <row r="199" spans="1:14" x14ac:dyDescent="0.35">
      <c r="A199" s="12" t="s">
        <v>196</v>
      </c>
      <c r="B199" s="12" t="s">
        <v>33</v>
      </c>
      <c r="C199" s="4">
        <v>42.521191999999999</v>
      </c>
      <c r="D199" s="4">
        <v>3.1138979999999998</v>
      </c>
      <c r="E199" s="8">
        <v>1888</v>
      </c>
      <c r="F199" s="8">
        <v>1932</v>
      </c>
      <c r="G199" s="9">
        <f t="shared" si="7"/>
        <v>45</v>
      </c>
      <c r="H199" s="8" t="s">
        <v>31</v>
      </c>
      <c r="I199" s="9">
        <v>0</v>
      </c>
      <c r="J199" s="8" t="s">
        <v>770</v>
      </c>
      <c r="K199" s="11" t="s">
        <v>806</v>
      </c>
      <c r="N199" s="15"/>
    </row>
    <row r="200" spans="1:14" x14ac:dyDescent="0.35">
      <c r="A200" s="8" t="s">
        <v>198</v>
      </c>
      <c r="B200" s="12" t="s">
        <v>33</v>
      </c>
      <c r="C200" s="4">
        <v>43.396543000000001</v>
      </c>
      <c r="D200" s="4">
        <v>3.7016269999999998</v>
      </c>
      <c r="E200" s="8">
        <v>1975</v>
      </c>
      <c r="F200" s="8">
        <v>1979</v>
      </c>
      <c r="G200" s="9">
        <f t="shared" si="7"/>
        <v>5</v>
      </c>
      <c r="H200" s="8" t="s">
        <v>31</v>
      </c>
      <c r="I200" s="9">
        <v>0</v>
      </c>
      <c r="J200" s="8" t="s">
        <v>798</v>
      </c>
      <c r="K200" s="11" t="s">
        <v>806</v>
      </c>
      <c r="N200" s="15"/>
    </row>
    <row r="201" spans="1:14" x14ac:dyDescent="0.35">
      <c r="A201" s="12" t="s">
        <v>199</v>
      </c>
      <c r="B201" s="12" t="s">
        <v>33</v>
      </c>
      <c r="C201" s="4">
        <v>43.535618999999997</v>
      </c>
      <c r="D201" s="4">
        <v>4.1339639999999997</v>
      </c>
      <c r="E201" s="8">
        <v>1961</v>
      </c>
      <c r="F201" s="8">
        <v>1961</v>
      </c>
      <c r="G201" s="9">
        <f t="shared" si="7"/>
        <v>1</v>
      </c>
      <c r="H201" s="8" t="s">
        <v>31</v>
      </c>
      <c r="I201" s="9">
        <v>0</v>
      </c>
      <c r="J201" s="8" t="s">
        <v>798</v>
      </c>
      <c r="K201" s="11" t="s">
        <v>806</v>
      </c>
      <c r="N201" s="15"/>
    </row>
    <row r="202" spans="1:14" x14ac:dyDescent="0.35">
      <c r="A202" s="12" t="s">
        <v>200</v>
      </c>
      <c r="B202" s="12" t="s">
        <v>33</v>
      </c>
      <c r="C202" s="4">
        <v>43.396571999999999</v>
      </c>
      <c r="D202" s="4">
        <v>4.9841490000000004</v>
      </c>
      <c r="E202" s="8">
        <v>1956</v>
      </c>
      <c r="F202" s="8">
        <v>1975</v>
      </c>
      <c r="G202" s="9">
        <f t="shared" si="7"/>
        <v>20</v>
      </c>
      <c r="H202" s="8" t="s">
        <v>31</v>
      </c>
      <c r="I202" s="9">
        <v>0</v>
      </c>
      <c r="J202" s="8" t="s">
        <v>798</v>
      </c>
      <c r="K202" s="11" t="s">
        <v>806</v>
      </c>
      <c r="N202" s="15"/>
    </row>
    <row r="203" spans="1:14" x14ac:dyDescent="0.35">
      <c r="A203" s="12" t="s">
        <v>201</v>
      </c>
      <c r="B203" s="12" t="s">
        <v>33</v>
      </c>
      <c r="C203" s="4">
        <v>43.404598</v>
      </c>
      <c r="D203" s="4">
        <v>5.055301</v>
      </c>
      <c r="E203" s="8">
        <v>1895</v>
      </c>
      <c r="F203" s="8">
        <v>1983</v>
      </c>
      <c r="G203" s="9">
        <f t="shared" si="7"/>
        <v>30</v>
      </c>
      <c r="H203" s="8" t="s">
        <v>202</v>
      </c>
      <c r="I203" s="9">
        <v>59</v>
      </c>
      <c r="J203" s="8" t="s">
        <v>798</v>
      </c>
      <c r="K203" s="11" t="s">
        <v>806</v>
      </c>
      <c r="N203" s="15"/>
    </row>
    <row r="204" spans="1:14" x14ac:dyDescent="0.35">
      <c r="A204" s="12" t="s">
        <v>203</v>
      </c>
      <c r="B204" s="12" t="s">
        <v>33</v>
      </c>
      <c r="C204" s="4">
        <v>43.471798</v>
      </c>
      <c r="D204" s="4">
        <v>5.1638390000000003</v>
      </c>
      <c r="E204" s="8">
        <v>1966</v>
      </c>
      <c r="F204" s="8">
        <v>1966</v>
      </c>
      <c r="G204" s="9">
        <f t="shared" si="7"/>
        <v>1</v>
      </c>
      <c r="H204" s="8" t="s">
        <v>31</v>
      </c>
      <c r="I204" s="9">
        <v>0</v>
      </c>
      <c r="J204" s="8" t="s">
        <v>798</v>
      </c>
      <c r="K204" s="11" t="s">
        <v>806</v>
      </c>
      <c r="N204" s="15"/>
    </row>
    <row r="205" spans="1:14" x14ac:dyDescent="0.35">
      <c r="A205" s="12" t="s">
        <v>204</v>
      </c>
      <c r="B205" s="12" t="s">
        <v>33</v>
      </c>
      <c r="C205" s="4">
        <v>43.198531000000003</v>
      </c>
      <c r="D205" s="4">
        <v>5.2295280000000002</v>
      </c>
      <c r="E205" s="8">
        <v>1964</v>
      </c>
      <c r="F205" s="8">
        <v>1980</v>
      </c>
      <c r="G205" s="9">
        <f t="shared" si="7"/>
        <v>17</v>
      </c>
      <c r="H205" s="8" t="s">
        <v>31</v>
      </c>
      <c r="I205" s="9">
        <v>0</v>
      </c>
      <c r="J205" s="8" t="s">
        <v>799</v>
      </c>
      <c r="K205" s="11" t="s">
        <v>806</v>
      </c>
      <c r="N205" s="15"/>
    </row>
    <row r="206" spans="1:14" x14ac:dyDescent="0.35">
      <c r="A206" s="12" t="s">
        <v>205</v>
      </c>
      <c r="B206" s="12" t="s">
        <v>33</v>
      </c>
      <c r="C206" s="4">
        <v>43.12003</v>
      </c>
      <c r="D206" s="4">
        <v>5.9303999999999997</v>
      </c>
      <c r="E206" s="8">
        <v>1777</v>
      </c>
      <c r="F206" s="8">
        <v>1975</v>
      </c>
      <c r="G206" s="9">
        <f t="shared" si="7"/>
        <v>49</v>
      </c>
      <c r="H206" s="8" t="s">
        <v>206</v>
      </c>
      <c r="I206" s="9">
        <v>150</v>
      </c>
      <c r="J206" s="8" t="s">
        <v>798</v>
      </c>
      <c r="K206" s="11" t="s">
        <v>806</v>
      </c>
      <c r="N206" s="15"/>
    </row>
    <row r="207" spans="1:14" x14ac:dyDescent="0.35">
      <c r="A207" s="12" t="s">
        <v>205</v>
      </c>
      <c r="B207" s="12" t="s">
        <v>33</v>
      </c>
      <c r="C207" s="4">
        <v>43.12003</v>
      </c>
      <c r="D207" s="4">
        <v>5.9303999999999997</v>
      </c>
      <c r="E207" s="8">
        <v>1832</v>
      </c>
      <c r="F207" s="8">
        <v>1836</v>
      </c>
      <c r="G207" s="9">
        <f t="shared" si="7"/>
        <v>5</v>
      </c>
      <c r="H207" s="8" t="s">
        <v>31</v>
      </c>
      <c r="I207" s="9">
        <v>0</v>
      </c>
      <c r="J207" s="8" t="s">
        <v>770</v>
      </c>
      <c r="K207" s="11" t="s">
        <v>806</v>
      </c>
      <c r="N207" s="15"/>
    </row>
    <row r="208" spans="1:14" x14ac:dyDescent="0.35">
      <c r="A208" s="12" t="s">
        <v>207</v>
      </c>
      <c r="B208" s="12" t="s">
        <v>33</v>
      </c>
      <c r="C208" s="4">
        <v>43.111483999999997</v>
      </c>
      <c r="D208" s="4">
        <v>6.1925629999999998</v>
      </c>
      <c r="E208" s="8">
        <v>1954</v>
      </c>
      <c r="F208" s="8">
        <v>1954</v>
      </c>
      <c r="G208" s="9">
        <f t="shared" ref="G208:G239" si="8">(1+(F208-E208))-I208</f>
        <v>1</v>
      </c>
      <c r="H208" s="8" t="s">
        <v>31</v>
      </c>
      <c r="I208" s="9">
        <v>0</v>
      </c>
      <c r="J208" s="8" t="s">
        <v>798</v>
      </c>
      <c r="K208" s="11" t="s">
        <v>806</v>
      </c>
      <c r="N208" s="15"/>
    </row>
    <row r="209" spans="1:14" x14ac:dyDescent="0.35">
      <c r="A209" s="12" t="s">
        <v>208</v>
      </c>
      <c r="B209" s="12" t="s">
        <v>33</v>
      </c>
      <c r="C209" s="4">
        <v>43.003911000000002</v>
      </c>
      <c r="D209" s="4">
        <v>6.19876</v>
      </c>
      <c r="E209" s="8">
        <v>1896</v>
      </c>
      <c r="F209" s="8">
        <v>1898</v>
      </c>
      <c r="G209" s="9">
        <f t="shared" si="8"/>
        <v>3</v>
      </c>
      <c r="H209" s="8" t="s">
        <v>31</v>
      </c>
      <c r="I209" s="9">
        <v>0</v>
      </c>
      <c r="J209" s="8" t="s">
        <v>798</v>
      </c>
      <c r="K209" s="11" t="s">
        <v>806</v>
      </c>
      <c r="N209" s="15"/>
    </row>
    <row r="210" spans="1:14" x14ac:dyDescent="0.35">
      <c r="A210" s="12" t="s">
        <v>209</v>
      </c>
      <c r="B210" s="12" t="s">
        <v>33</v>
      </c>
      <c r="C210" s="4">
        <v>43.690626000000002</v>
      </c>
      <c r="D210" s="4">
        <v>7.288252</v>
      </c>
      <c r="E210" s="8">
        <v>1896</v>
      </c>
      <c r="F210" s="8">
        <v>1990</v>
      </c>
      <c r="G210" s="9">
        <f t="shared" si="8"/>
        <v>38</v>
      </c>
      <c r="H210" s="8" t="s">
        <v>210</v>
      </c>
      <c r="I210" s="9">
        <v>57</v>
      </c>
      <c r="J210" s="8" t="s">
        <v>798</v>
      </c>
      <c r="K210" s="11" t="s">
        <v>806</v>
      </c>
      <c r="N210" s="15"/>
    </row>
    <row r="211" spans="1:14" x14ac:dyDescent="0.35">
      <c r="A211" s="12" t="s">
        <v>211</v>
      </c>
      <c r="B211" s="12" t="s">
        <v>33</v>
      </c>
      <c r="C211" s="4">
        <v>41.589970999999998</v>
      </c>
      <c r="D211" s="4">
        <v>9.2831969999999995</v>
      </c>
      <c r="E211" s="8">
        <v>1884</v>
      </c>
      <c r="F211" s="8">
        <v>1890</v>
      </c>
      <c r="G211" s="9">
        <f t="shared" si="8"/>
        <v>4</v>
      </c>
      <c r="H211" s="8" t="s">
        <v>212</v>
      </c>
      <c r="I211" s="9">
        <v>3</v>
      </c>
      <c r="J211" s="8" t="s">
        <v>798</v>
      </c>
      <c r="K211" s="11" t="s">
        <v>806</v>
      </c>
      <c r="N211" s="15"/>
    </row>
    <row r="212" spans="1:14" x14ac:dyDescent="0.35">
      <c r="A212" s="12" t="s">
        <v>213</v>
      </c>
      <c r="B212" s="12" t="s">
        <v>33</v>
      </c>
      <c r="C212" s="4">
        <v>42.694147000000001</v>
      </c>
      <c r="D212" s="4">
        <v>9.4539139999999993</v>
      </c>
      <c r="E212" s="8">
        <v>1957</v>
      </c>
      <c r="F212" s="8">
        <v>1957</v>
      </c>
      <c r="G212" s="9">
        <f t="shared" si="8"/>
        <v>1</v>
      </c>
      <c r="H212" s="8" t="s">
        <v>31</v>
      </c>
      <c r="I212" s="9">
        <v>0</v>
      </c>
      <c r="J212" s="8" t="s">
        <v>798</v>
      </c>
      <c r="K212" s="11" t="s">
        <v>806</v>
      </c>
      <c r="N212" s="15"/>
    </row>
    <row r="213" spans="1:14" x14ac:dyDescent="0.35">
      <c r="A213" s="12" t="s">
        <v>214</v>
      </c>
      <c r="B213" s="12" t="s">
        <v>33</v>
      </c>
      <c r="C213" s="4">
        <v>42.683129999999998</v>
      </c>
      <c r="D213" s="4">
        <v>9.3007460000000002</v>
      </c>
      <c r="E213" s="8">
        <v>1888</v>
      </c>
      <c r="F213" s="8">
        <v>1891</v>
      </c>
      <c r="G213" s="9">
        <f t="shared" si="8"/>
        <v>2</v>
      </c>
      <c r="H213" s="8" t="s">
        <v>215</v>
      </c>
      <c r="I213" s="9">
        <v>2</v>
      </c>
      <c r="J213" s="8" t="s">
        <v>798</v>
      </c>
      <c r="K213" s="11" t="s">
        <v>806</v>
      </c>
      <c r="N213" s="15"/>
    </row>
    <row r="214" spans="1:14" x14ac:dyDescent="0.35">
      <c r="A214" s="12" t="s">
        <v>216</v>
      </c>
      <c r="B214" s="12" t="s">
        <v>33</v>
      </c>
      <c r="C214" s="4">
        <v>42.564911000000002</v>
      </c>
      <c r="D214" s="4">
        <v>8.7594150000000006</v>
      </c>
      <c r="E214" s="8">
        <v>1977</v>
      </c>
      <c r="F214" s="8">
        <v>1977</v>
      </c>
      <c r="G214" s="9">
        <f t="shared" si="8"/>
        <v>1</v>
      </c>
      <c r="H214" s="8" t="s">
        <v>31</v>
      </c>
      <c r="I214" s="9">
        <v>0</v>
      </c>
      <c r="J214" s="8" t="s">
        <v>798</v>
      </c>
      <c r="K214" s="11" t="s">
        <v>806</v>
      </c>
      <c r="N214" s="15"/>
    </row>
    <row r="215" spans="1:14" x14ac:dyDescent="0.35">
      <c r="A215" s="12" t="s">
        <v>217</v>
      </c>
      <c r="B215" s="12" t="s">
        <v>33</v>
      </c>
      <c r="C215" s="4">
        <v>41.917740999999999</v>
      </c>
      <c r="D215" s="4">
        <v>8.7407039999999991</v>
      </c>
      <c r="E215" s="8">
        <v>1821</v>
      </c>
      <c r="F215" s="8">
        <v>1978</v>
      </c>
      <c r="G215" s="9">
        <f t="shared" si="8"/>
        <v>2</v>
      </c>
      <c r="H215" s="8" t="s">
        <v>218</v>
      </c>
      <c r="I215" s="9">
        <v>156</v>
      </c>
      <c r="J215" s="8" t="s">
        <v>798</v>
      </c>
      <c r="K215" s="11" t="s">
        <v>806</v>
      </c>
      <c r="N215" s="15"/>
    </row>
    <row r="216" spans="1:14" x14ac:dyDescent="0.35">
      <c r="A216" s="19" t="s">
        <v>622</v>
      </c>
      <c r="B216" s="19" t="s">
        <v>33</v>
      </c>
      <c r="C216" s="9">
        <v>46.155740000000002</v>
      </c>
      <c r="D216" s="9">
        <v>-1.1535569999999999</v>
      </c>
      <c r="E216" s="8">
        <v>1775</v>
      </c>
      <c r="F216" s="8">
        <v>1776</v>
      </c>
      <c r="G216" s="9">
        <v>1</v>
      </c>
      <c r="H216" s="8" t="s">
        <v>31</v>
      </c>
      <c r="I216" s="9">
        <v>0</v>
      </c>
      <c r="J216" s="8" t="s">
        <v>799</v>
      </c>
      <c r="K216" s="11" t="s">
        <v>808</v>
      </c>
      <c r="N216" s="15"/>
    </row>
    <row r="217" spans="1:14" x14ac:dyDescent="0.35">
      <c r="A217" s="12" t="s">
        <v>457</v>
      </c>
      <c r="B217" s="12" t="s">
        <v>458</v>
      </c>
      <c r="C217" s="4">
        <v>-49.282457999999998</v>
      </c>
      <c r="D217" s="4">
        <v>69.39837</v>
      </c>
      <c r="E217" s="8">
        <v>1949</v>
      </c>
      <c r="F217" s="8">
        <v>1956</v>
      </c>
      <c r="G217" s="9">
        <f t="shared" ref="G217:G280" si="9">(1+(F217-E217))-I217</f>
        <v>3</v>
      </c>
      <c r="H217" s="8" t="s">
        <v>459</v>
      </c>
      <c r="I217" s="9">
        <v>5</v>
      </c>
      <c r="J217" s="8" t="s">
        <v>798</v>
      </c>
      <c r="K217" s="11" t="s">
        <v>806</v>
      </c>
      <c r="N217" s="15"/>
    </row>
    <row r="218" spans="1:14" x14ac:dyDescent="0.35">
      <c r="A218" s="8" t="s">
        <v>770</v>
      </c>
      <c r="B218" s="12" t="s">
        <v>300</v>
      </c>
      <c r="C218" s="4">
        <v>-2.766486</v>
      </c>
      <c r="D218" s="4">
        <v>9.9830129999999997</v>
      </c>
      <c r="E218" s="8">
        <v>1889</v>
      </c>
      <c r="F218" s="8">
        <v>1964</v>
      </c>
      <c r="G218" s="9">
        <f t="shared" si="9"/>
        <v>12</v>
      </c>
      <c r="H218" s="8" t="s">
        <v>301</v>
      </c>
      <c r="I218" s="9">
        <v>64</v>
      </c>
      <c r="J218" s="8" t="s">
        <v>798</v>
      </c>
      <c r="K218" s="11" t="s">
        <v>806</v>
      </c>
      <c r="N218" s="15"/>
    </row>
    <row r="219" spans="1:14" x14ac:dyDescent="0.35">
      <c r="A219" s="12" t="s">
        <v>302</v>
      </c>
      <c r="B219" s="12" t="s">
        <v>300</v>
      </c>
      <c r="C219" s="4">
        <v>0.40306900000000001</v>
      </c>
      <c r="D219" s="4">
        <v>9.4296240000000004</v>
      </c>
      <c r="E219" s="8">
        <v>1949</v>
      </c>
      <c r="F219" s="8">
        <v>1963</v>
      </c>
      <c r="G219" s="9">
        <f t="shared" si="9"/>
        <v>3</v>
      </c>
      <c r="H219" s="8" t="s">
        <v>303</v>
      </c>
      <c r="I219" s="9">
        <v>12</v>
      </c>
      <c r="J219" s="8" t="s">
        <v>798</v>
      </c>
      <c r="K219" s="11" t="s">
        <v>806</v>
      </c>
      <c r="N219" s="15"/>
    </row>
    <row r="220" spans="1:14" x14ac:dyDescent="0.35">
      <c r="A220" s="12" t="s">
        <v>304</v>
      </c>
      <c r="B220" s="12" t="s">
        <v>300</v>
      </c>
      <c r="C220" s="4">
        <v>-0.47177400000000003</v>
      </c>
      <c r="D220" s="4">
        <v>9.2514859999999999</v>
      </c>
      <c r="E220" s="8">
        <v>1963</v>
      </c>
      <c r="F220" s="8">
        <v>1963</v>
      </c>
      <c r="G220" s="9">
        <f t="shared" si="9"/>
        <v>1</v>
      </c>
      <c r="H220" s="8" t="s">
        <v>31</v>
      </c>
      <c r="I220" s="9">
        <v>0</v>
      </c>
      <c r="J220" s="8" t="s">
        <v>798</v>
      </c>
      <c r="K220" s="11" t="s">
        <v>806</v>
      </c>
      <c r="N220" s="15"/>
    </row>
    <row r="221" spans="1:14" x14ac:dyDescent="0.35">
      <c r="A221" s="12" t="s">
        <v>305</v>
      </c>
      <c r="B221" s="12" t="s">
        <v>300</v>
      </c>
      <c r="C221" s="4">
        <v>-0.62099199999999999</v>
      </c>
      <c r="D221" s="4">
        <v>8.7140719999999998</v>
      </c>
      <c r="E221" s="8">
        <v>1910</v>
      </c>
      <c r="F221" s="8">
        <v>1912</v>
      </c>
      <c r="G221" s="9">
        <f t="shared" si="9"/>
        <v>3</v>
      </c>
      <c r="H221" s="8" t="s">
        <v>31</v>
      </c>
      <c r="I221" s="9">
        <v>0</v>
      </c>
      <c r="J221" s="8" t="s">
        <v>798</v>
      </c>
      <c r="K221" s="11" t="s">
        <v>806</v>
      </c>
      <c r="N221" s="15"/>
    </row>
    <row r="222" spans="1:14" x14ac:dyDescent="0.35">
      <c r="A222" s="8" t="s">
        <v>770</v>
      </c>
      <c r="B222" s="12" t="s">
        <v>288</v>
      </c>
      <c r="C222" s="4">
        <v>13.275131</v>
      </c>
      <c r="D222" s="4">
        <v>-16.799873000000002</v>
      </c>
      <c r="E222" s="8">
        <v>1964</v>
      </c>
      <c r="F222" s="8">
        <v>1965</v>
      </c>
      <c r="G222" s="9">
        <f t="shared" si="9"/>
        <v>2</v>
      </c>
      <c r="H222" s="8" t="s">
        <v>31</v>
      </c>
      <c r="I222" s="9">
        <v>0</v>
      </c>
      <c r="J222" s="8" t="s">
        <v>798</v>
      </c>
      <c r="K222" s="11" t="s">
        <v>806</v>
      </c>
      <c r="N222" s="15"/>
    </row>
    <row r="223" spans="1:14" x14ac:dyDescent="0.35">
      <c r="A223" s="8" t="s">
        <v>547</v>
      </c>
      <c r="B223" s="8" t="s">
        <v>548</v>
      </c>
      <c r="C223" s="9">
        <v>43.324568999999997</v>
      </c>
      <c r="D223" s="9">
        <v>40.221468999999999</v>
      </c>
      <c r="E223" s="8">
        <v>1926</v>
      </c>
      <c r="F223" s="8">
        <v>1985</v>
      </c>
      <c r="G223" s="9">
        <f t="shared" si="9"/>
        <v>60</v>
      </c>
      <c r="H223" s="8" t="s">
        <v>31</v>
      </c>
      <c r="I223" s="9">
        <v>0</v>
      </c>
      <c r="J223" s="8" t="s">
        <v>770</v>
      </c>
      <c r="K223" s="11" t="s">
        <v>807</v>
      </c>
      <c r="N223" s="15"/>
    </row>
    <row r="224" spans="1:14" x14ac:dyDescent="0.35">
      <c r="A224" s="8" t="s">
        <v>549</v>
      </c>
      <c r="B224" s="8" t="s">
        <v>548</v>
      </c>
      <c r="C224" s="9">
        <v>43.099423999999999</v>
      </c>
      <c r="D224" s="9">
        <v>40.63738</v>
      </c>
      <c r="E224" s="8">
        <v>1928</v>
      </c>
      <c r="F224" s="8">
        <v>1960</v>
      </c>
      <c r="G224" s="9">
        <f t="shared" si="9"/>
        <v>33</v>
      </c>
      <c r="H224" s="8" t="s">
        <v>31</v>
      </c>
      <c r="I224" s="9">
        <v>0</v>
      </c>
      <c r="J224" s="8" t="s">
        <v>770</v>
      </c>
      <c r="K224" s="11" t="s">
        <v>807</v>
      </c>
      <c r="N224" s="15"/>
    </row>
    <row r="225" spans="1:14" x14ac:dyDescent="0.35">
      <c r="A225" s="8" t="s">
        <v>550</v>
      </c>
      <c r="B225" s="8" t="s">
        <v>548</v>
      </c>
      <c r="C225" s="9">
        <v>42.695016000000003</v>
      </c>
      <c r="D225" s="9">
        <v>41.470562999999999</v>
      </c>
      <c r="E225" s="8">
        <v>1928</v>
      </c>
      <c r="F225" s="8">
        <v>1960</v>
      </c>
      <c r="G225" s="9">
        <f t="shared" si="9"/>
        <v>33</v>
      </c>
      <c r="H225" s="8" t="s">
        <v>31</v>
      </c>
      <c r="I225" s="9">
        <v>0</v>
      </c>
      <c r="J225" s="8" t="s">
        <v>770</v>
      </c>
      <c r="K225" s="11" t="s">
        <v>807</v>
      </c>
      <c r="N225" s="15"/>
    </row>
    <row r="226" spans="1:14" x14ac:dyDescent="0.35">
      <c r="A226" s="12" t="s">
        <v>233</v>
      </c>
      <c r="B226" s="12" t="s">
        <v>234</v>
      </c>
      <c r="C226" s="4">
        <v>53.890175999999997</v>
      </c>
      <c r="D226" s="4">
        <v>9.1410260000000001</v>
      </c>
      <c r="E226" s="8">
        <v>1811</v>
      </c>
      <c r="F226" s="8">
        <v>1811</v>
      </c>
      <c r="G226" s="9">
        <f t="shared" si="9"/>
        <v>1</v>
      </c>
      <c r="H226" s="8" t="s">
        <v>31</v>
      </c>
      <c r="I226" s="9">
        <v>0</v>
      </c>
      <c r="J226" s="8" t="s">
        <v>798</v>
      </c>
      <c r="K226" s="11" t="s">
        <v>806</v>
      </c>
      <c r="N226" s="15"/>
    </row>
    <row r="227" spans="1:14" x14ac:dyDescent="0.35">
      <c r="A227" s="12" t="s">
        <v>235</v>
      </c>
      <c r="B227" s="12" t="s">
        <v>234</v>
      </c>
      <c r="C227" s="9">
        <v>53.890380999999998</v>
      </c>
      <c r="D227" s="9">
        <v>8.6841790000000003</v>
      </c>
      <c r="E227" s="8">
        <v>1812</v>
      </c>
      <c r="F227" s="8">
        <v>1812</v>
      </c>
      <c r="G227" s="9">
        <f t="shared" si="9"/>
        <v>1</v>
      </c>
      <c r="H227" s="8" t="s">
        <v>31</v>
      </c>
      <c r="I227" s="9">
        <v>0</v>
      </c>
      <c r="J227" s="8" t="s">
        <v>798</v>
      </c>
      <c r="K227" s="11" t="s">
        <v>806</v>
      </c>
      <c r="N227" s="15"/>
    </row>
    <row r="228" spans="1:14" x14ac:dyDescent="0.35">
      <c r="A228" s="8" t="s">
        <v>535</v>
      </c>
      <c r="B228" s="8" t="s">
        <v>536</v>
      </c>
      <c r="C228" s="9">
        <v>5.6346569999999998</v>
      </c>
      <c r="D228" s="9">
        <v>1.6750999999999999E-2</v>
      </c>
      <c r="E228" s="8">
        <v>1963</v>
      </c>
      <c r="F228" s="8">
        <v>1964</v>
      </c>
      <c r="G228" s="9">
        <f t="shared" si="9"/>
        <v>2</v>
      </c>
      <c r="H228" s="8" t="s">
        <v>31</v>
      </c>
      <c r="I228" s="9">
        <v>0</v>
      </c>
      <c r="J228" s="8" t="s">
        <v>770</v>
      </c>
      <c r="K228" s="11" t="s">
        <v>807</v>
      </c>
      <c r="N228" s="15"/>
    </row>
    <row r="229" spans="1:14" x14ac:dyDescent="0.35">
      <c r="A229" s="12" t="s">
        <v>238</v>
      </c>
      <c r="B229" s="12" t="s">
        <v>239</v>
      </c>
      <c r="C229" s="9">
        <v>36.133462999999999</v>
      </c>
      <c r="D229" s="9">
        <v>-5.3552090000000003</v>
      </c>
      <c r="E229" s="8">
        <v>1854</v>
      </c>
      <c r="F229" s="8">
        <v>1855</v>
      </c>
      <c r="G229" s="9">
        <f t="shared" si="9"/>
        <v>2</v>
      </c>
      <c r="H229" s="8" t="s">
        <v>31</v>
      </c>
      <c r="I229" s="9">
        <v>0</v>
      </c>
      <c r="J229" s="8" t="s">
        <v>798</v>
      </c>
      <c r="K229" s="11" t="s">
        <v>806</v>
      </c>
      <c r="N229" s="15"/>
    </row>
    <row r="230" spans="1:14" x14ac:dyDescent="0.35">
      <c r="A230" s="8" t="s">
        <v>238</v>
      </c>
      <c r="B230" s="8" t="s">
        <v>238</v>
      </c>
      <c r="C230" s="9">
        <v>36.133462999999999</v>
      </c>
      <c r="D230" s="9">
        <v>-5.3552090000000003</v>
      </c>
      <c r="E230" s="8">
        <v>1961</v>
      </c>
      <c r="F230" s="8">
        <v>1999</v>
      </c>
      <c r="G230" s="9">
        <f t="shared" si="9"/>
        <v>39</v>
      </c>
      <c r="H230" s="8" t="s">
        <v>31</v>
      </c>
      <c r="I230" s="9">
        <v>0</v>
      </c>
      <c r="J230" s="8" t="s">
        <v>770</v>
      </c>
      <c r="K230" s="11" t="s">
        <v>807</v>
      </c>
      <c r="N230" s="15"/>
    </row>
    <row r="231" spans="1:14" x14ac:dyDescent="0.35">
      <c r="A231" s="8" t="s">
        <v>770</v>
      </c>
      <c r="B231" s="8" t="s">
        <v>444</v>
      </c>
      <c r="C231" s="4">
        <v>16.252883000000001</v>
      </c>
      <c r="D231" s="4">
        <v>-61.568686</v>
      </c>
      <c r="E231" s="8">
        <v>1867</v>
      </c>
      <c r="F231" s="8">
        <v>1869</v>
      </c>
      <c r="G231" s="9">
        <f t="shared" si="9"/>
        <v>3</v>
      </c>
      <c r="H231" s="8" t="s">
        <v>31</v>
      </c>
      <c r="I231" s="9">
        <v>0</v>
      </c>
      <c r="J231" s="8" t="s">
        <v>798</v>
      </c>
      <c r="K231" s="11" t="s">
        <v>806</v>
      </c>
      <c r="N231" s="15"/>
    </row>
    <row r="232" spans="1:14" x14ac:dyDescent="0.35">
      <c r="A232" s="8" t="s">
        <v>770</v>
      </c>
      <c r="B232" s="12" t="s">
        <v>289</v>
      </c>
      <c r="C232" s="4">
        <v>10.304403000000001</v>
      </c>
      <c r="D232" s="4">
        <v>-14.442499</v>
      </c>
      <c r="E232" s="8">
        <v>1947</v>
      </c>
      <c r="F232" s="8">
        <v>1959</v>
      </c>
      <c r="G232" s="9">
        <f t="shared" si="9"/>
        <v>6</v>
      </c>
      <c r="H232" s="8" t="s">
        <v>290</v>
      </c>
      <c r="I232" s="9">
        <v>7</v>
      </c>
      <c r="J232" s="8" t="s">
        <v>798</v>
      </c>
      <c r="K232" s="11" t="s">
        <v>806</v>
      </c>
      <c r="N232" s="15"/>
    </row>
    <row r="233" spans="1:14" x14ac:dyDescent="0.35">
      <c r="A233" s="12" t="s">
        <v>291</v>
      </c>
      <c r="B233" s="12" t="s">
        <v>289</v>
      </c>
      <c r="C233" s="4">
        <v>10.173278</v>
      </c>
      <c r="D233" s="4">
        <v>-14.029323</v>
      </c>
      <c r="E233" s="8">
        <v>1942</v>
      </c>
      <c r="F233" s="8">
        <v>1943</v>
      </c>
      <c r="G233" s="9">
        <f t="shared" si="9"/>
        <v>2</v>
      </c>
      <c r="H233" s="8" t="s">
        <v>31</v>
      </c>
      <c r="I233" s="9">
        <v>0</v>
      </c>
      <c r="J233" s="8" t="s">
        <v>770</v>
      </c>
      <c r="K233" s="11" t="s">
        <v>806</v>
      </c>
      <c r="N233" s="15"/>
    </row>
    <row r="234" spans="1:14" x14ac:dyDescent="0.35">
      <c r="A234" s="12" t="s">
        <v>292</v>
      </c>
      <c r="B234" s="12" t="s">
        <v>289</v>
      </c>
      <c r="C234" s="4">
        <v>9.5177350000000001</v>
      </c>
      <c r="D234" s="4">
        <v>-13.711266999999999</v>
      </c>
      <c r="E234" s="8">
        <v>1900</v>
      </c>
      <c r="F234" s="8">
        <v>1938</v>
      </c>
      <c r="G234" s="9">
        <f t="shared" si="9"/>
        <v>2</v>
      </c>
      <c r="H234" s="8" t="s">
        <v>293</v>
      </c>
      <c r="I234" s="9">
        <v>37</v>
      </c>
      <c r="J234" s="8" t="s">
        <v>799</v>
      </c>
      <c r="K234" s="11" t="s">
        <v>806</v>
      </c>
      <c r="N234" s="15"/>
    </row>
    <row r="235" spans="1:14" x14ac:dyDescent="0.35">
      <c r="A235" s="12" t="s">
        <v>292</v>
      </c>
      <c r="B235" s="12" t="s">
        <v>289</v>
      </c>
      <c r="C235" s="4">
        <v>9.5177350000000001</v>
      </c>
      <c r="D235" s="4">
        <v>-13.711266999999999</v>
      </c>
      <c r="E235" s="8">
        <v>1937</v>
      </c>
      <c r="F235" s="8">
        <v>1950</v>
      </c>
      <c r="G235" s="9">
        <f t="shared" si="9"/>
        <v>3</v>
      </c>
      <c r="H235" s="8" t="s">
        <v>294</v>
      </c>
      <c r="I235" s="9">
        <v>11</v>
      </c>
      <c r="J235" s="8" t="s">
        <v>798</v>
      </c>
      <c r="K235" s="11" t="s">
        <v>806</v>
      </c>
      <c r="N235" s="15"/>
    </row>
    <row r="236" spans="1:14" x14ac:dyDescent="0.35">
      <c r="A236" s="12" t="s">
        <v>295</v>
      </c>
      <c r="B236" s="12" t="s">
        <v>289</v>
      </c>
      <c r="C236" s="4">
        <v>9.7770949999999992</v>
      </c>
      <c r="D236" s="4">
        <v>-13.522747000000001</v>
      </c>
      <c r="E236" s="8">
        <v>1942</v>
      </c>
      <c r="F236" s="8">
        <v>1943</v>
      </c>
      <c r="G236" s="9">
        <f t="shared" si="9"/>
        <v>2</v>
      </c>
      <c r="H236" s="8" t="s">
        <v>31</v>
      </c>
      <c r="I236" s="9">
        <v>0</v>
      </c>
      <c r="J236" s="8" t="s">
        <v>798</v>
      </c>
      <c r="K236" s="11" t="s">
        <v>806</v>
      </c>
      <c r="N236" s="15"/>
    </row>
    <row r="237" spans="1:14" x14ac:dyDescent="0.35">
      <c r="A237" s="8" t="s">
        <v>770</v>
      </c>
      <c r="B237" s="12" t="s">
        <v>437</v>
      </c>
      <c r="C237" s="4">
        <v>6.8062610000000001</v>
      </c>
      <c r="D237" s="4">
        <v>-58.173051999999998</v>
      </c>
      <c r="E237" s="8">
        <v>1929</v>
      </c>
      <c r="F237" s="8">
        <v>1948</v>
      </c>
      <c r="G237" s="9">
        <f t="shared" si="9"/>
        <v>6</v>
      </c>
      <c r="H237" s="8" t="s">
        <v>438</v>
      </c>
      <c r="I237" s="9">
        <v>14</v>
      </c>
      <c r="J237" s="8" t="s">
        <v>798</v>
      </c>
      <c r="K237" s="11" t="s">
        <v>806</v>
      </c>
      <c r="N237" s="15"/>
    </row>
    <row r="238" spans="1:14" x14ac:dyDescent="0.35">
      <c r="A238" s="12" t="s">
        <v>439</v>
      </c>
      <c r="B238" s="12" t="s">
        <v>437</v>
      </c>
      <c r="C238" s="4">
        <v>5.284656</v>
      </c>
      <c r="D238" s="4">
        <v>-52.586717</v>
      </c>
      <c r="E238" s="8">
        <v>1896</v>
      </c>
      <c r="F238" s="8">
        <v>1897</v>
      </c>
      <c r="G238" s="9">
        <f t="shared" si="9"/>
        <v>2</v>
      </c>
      <c r="H238" s="8" t="s">
        <v>31</v>
      </c>
      <c r="I238" s="9">
        <v>0</v>
      </c>
      <c r="J238" s="8" t="s">
        <v>798</v>
      </c>
      <c r="K238" s="11" t="s">
        <v>806</v>
      </c>
      <c r="N238" s="15"/>
    </row>
    <row r="239" spans="1:14" x14ac:dyDescent="0.35">
      <c r="A239" s="12" t="s">
        <v>439</v>
      </c>
      <c r="B239" s="12" t="s">
        <v>437</v>
      </c>
      <c r="C239" s="4">
        <v>5.284656</v>
      </c>
      <c r="D239" s="4">
        <v>-52.586717</v>
      </c>
      <c r="E239" s="8">
        <v>1896</v>
      </c>
      <c r="F239" s="8">
        <v>1937</v>
      </c>
      <c r="G239" s="9">
        <f t="shared" si="9"/>
        <v>3</v>
      </c>
      <c r="H239" s="8" t="s">
        <v>440</v>
      </c>
      <c r="I239" s="9">
        <v>39</v>
      </c>
      <c r="J239" s="8" t="s">
        <v>799</v>
      </c>
      <c r="K239" s="11" t="s">
        <v>806</v>
      </c>
      <c r="N239" s="15"/>
    </row>
    <row r="240" spans="1:14" x14ac:dyDescent="0.35">
      <c r="A240" s="12" t="s">
        <v>441</v>
      </c>
      <c r="B240" s="12" t="s">
        <v>437</v>
      </c>
      <c r="C240" s="4">
        <v>4.9370580000000004</v>
      </c>
      <c r="D240" s="4">
        <v>-52.339838999999998</v>
      </c>
      <c r="E240" s="8">
        <v>1830</v>
      </c>
      <c r="F240" s="8">
        <v>1830</v>
      </c>
      <c r="G240" s="9">
        <f t="shared" si="9"/>
        <v>1</v>
      </c>
      <c r="H240" s="8" t="s">
        <v>31</v>
      </c>
      <c r="I240" s="9">
        <v>0</v>
      </c>
      <c r="J240" s="8" t="s">
        <v>770</v>
      </c>
      <c r="K240" s="11" t="s">
        <v>806</v>
      </c>
      <c r="N240" s="15"/>
    </row>
    <row r="241" spans="1:14" x14ac:dyDescent="0.35">
      <c r="A241" s="12" t="s">
        <v>441</v>
      </c>
      <c r="B241" s="12" t="s">
        <v>437</v>
      </c>
      <c r="C241" s="4">
        <v>4.9370580000000004</v>
      </c>
      <c r="D241" s="4">
        <v>-52.339838999999998</v>
      </c>
      <c r="E241" s="8">
        <v>1936</v>
      </c>
      <c r="F241" s="8">
        <v>1937</v>
      </c>
      <c r="G241" s="9">
        <f t="shared" si="9"/>
        <v>2</v>
      </c>
      <c r="H241" s="8" t="s">
        <v>31</v>
      </c>
      <c r="I241" s="9">
        <v>0</v>
      </c>
      <c r="J241" s="8" t="s">
        <v>798</v>
      </c>
      <c r="K241" s="11" t="s">
        <v>806</v>
      </c>
      <c r="N241" s="15"/>
    </row>
    <row r="242" spans="1:14" x14ac:dyDescent="0.35">
      <c r="A242" s="12" t="s">
        <v>441</v>
      </c>
      <c r="B242" s="12" t="s">
        <v>437</v>
      </c>
      <c r="C242" s="4">
        <v>4.9370580000000004</v>
      </c>
      <c r="D242" s="4">
        <v>-52.339838999999998</v>
      </c>
      <c r="E242" s="8">
        <v>1931</v>
      </c>
      <c r="F242" s="8">
        <v>1937</v>
      </c>
      <c r="G242" s="9">
        <f t="shared" si="9"/>
        <v>5</v>
      </c>
      <c r="H242" s="8" t="s">
        <v>442</v>
      </c>
      <c r="I242" s="9">
        <v>2</v>
      </c>
      <c r="J242" s="8" t="s">
        <v>799</v>
      </c>
      <c r="K242" s="11" t="s">
        <v>806</v>
      </c>
      <c r="N242" s="15"/>
    </row>
    <row r="243" spans="1:14" x14ac:dyDescent="0.35">
      <c r="A243" s="8" t="s">
        <v>443</v>
      </c>
      <c r="B243" s="12" t="s">
        <v>437</v>
      </c>
      <c r="C243" s="4">
        <v>5.5045159999999997</v>
      </c>
      <c r="D243" s="4">
        <v>-54.033222000000002</v>
      </c>
      <c r="E243" s="8">
        <v>1935</v>
      </c>
      <c r="F243" s="8">
        <v>1937</v>
      </c>
      <c r="G243" s="9">
        <f t="shared" si="9"/>
        <v>3</v>
      </c>
      <c r="H243" s="8" t="s">
        <v>31</v>
      </c>
      <c r="I243" s="9">
        <v>0</v>
      </c>
      <c r="J243" s="8" t="s">
        <v>799</v>
      </c>
      <c r="K243" s="11" t="s">
        <v>806</v>
      </c>
      <c r="N243" s="15"/>
    </row>
    <row r="244" spans="1:14" x14ac:dyDescent="0.35">
      <c r="A244" s="8" t="s">
        <v>443</v>
      </c>
      <c r="B244" s="12" t="s">
        <v>437</v>
      </c>
      <c r="C244" s="4">
        <v>5.5045159999999997</v>
      </c>
      <c r="D244" s="4">
        <v>-54.033222000000002</v>
      </c>
      <c r="E244" s="8">
        <v>1936</v>
      </c>
      <c r="F244" s="8">
        <v>1937</v>
      </c>
      <c r="G244" s="9">
        <f t="shared" si="9"/>
        <v>2</v>
      </c>
      <c r="H244" s="8" t="s">
        <v>31</v>
      </c>
      <c r="I244" s="9">
        <v>0</v>
      </c>
      <c r="J244" s="8" t="s">
        <v>798</v>
      </c>
      <c r="K244" s="11" t="s">
        <v>806</v>
      </c>
      <c r="N244" s="15"/>
    </row>
    <row r="245" spans="1:14" x14ac:dyDescent="0.35">
      <c r="A245" s="12" t="s">
        <v>430</v>
      </c>
      <c r="B245" s="12" t="s">
        <v>431</v>
      </c>
      <c r="C245" s="9">
        <v>21.312847000000001</v>
      </c>
      <c r="D245" s="9">
        <v>-157.86618899999999</v>
      </c>
      <c r="E245" s="8">
        <v>1851</v>
      </c>
      <c r="F245" s="8">
        <v>1851</v>
      </c>
      <c r="G245" s="9">
        <f t="shared" si="9"/>
        <v>1</v>
      </c>
      <c r="H245" s="8" t="s">
        <v>31</v>
      </c>
      <c r="I245" s="9">
        <v>0</v>
      </c>
      <c r="J245" s="8" t="s">
        <v>770</v>
      </c>
      <c r="K245" s="11" t="s">
        <v>806</v>
      </c>
      <c r="N245" s="15"/>
    </row>
    <row r="246" spans="1:14" x14ac:dyDescent="0.35">
      <c r="A246" s="8" t="s">
        <v>524</v>
      </c>
      <c r="B246" s="8" t="s">
        <v>525</v>
      </c>
      <c r="C246" s="9">
        <v>64.155173000000005</v>
      </c>
      <c r="D246" s="9">
        <v>-21.938317000000001</v>
      </c>
      <c r="E246" s="8">
        <v>1956</v>
      </c>
      <c r="F246" s="8">
        <v>1963</v>
      </c>
      <c r="G246" s="9">
        <f t="shared" si="9"/>
        <v>8</v>
      </c>
      <c r="H246" s="8" t="s">
        <v>31</v>
      </c>
      <c r="I246" s="9">
        <v>0</v>
      </c>
      <c r="J246" s="8" t="s">
        <v>770</v>
      </c>
      <c r="K246" s="11" t="s">
        <v>807</v>
      </c>
      <c r="N246" s="15"/>
    </row>
    <row r="247" spans="1:14" x14ac:dyDescent="0.35">
      <c r="A247" s="8" t="s">
        <v>770</v>
      </c>
      <c r="B247" s="12" t="s">
        <v>348</v>
      </c>
      <c r="C247" s="4">
        <v>16.069987000000001</v>
      </c>
      <c r="D247" s="4">
        <v>108.22454999999999</v>
      </c>
      <c r="E247" s="8">
        <v>1904</v>
      </c>
      <c r="F247" s="8">
        <v>1956</v>
      </c>
      <c r="G247" s="9">
        <f t="shared" si="9"/>
        <v>20</v>
      </c>
      <c r="H247" s="8" t="s">
        <v>349</v>
      </c>
      <c r="I247" s="9">
        <v>33</v>
      </c>
      <c r="J247" s="8" t="s">
        <v>798</v>
      </c>
      <c r="K247" s="11" t="s">
        <v>806</v>
      </c>
      <c r="N247" s="15"/>
    </row>
    <row r="248" spans="1:14" x14ac:dyDescent="0.35">
      <c r="A248" s="8" t="s">
        <v>463</v>
      </c>
      <c r="B248" s="8" t="s">
        <v>464</v>
      </c>
      <c r="C248" s="9">
        <v>30.341501999999998</v>
      </c>
      <c r="D248" s="9">
        <v>48.272781000000002</v>
      </c>
      <c r="E248" s="8">
        <v>1931</v>
      </c>
      <c r="F248" s="8">
        <v>1936</v>
      </c>
      <c r="G248" s="9">
        <f t="shared" si="9"/>
        <v>6</v>
      </c>
      <c r="H248" s="8" t="s">
        <v>31</v>
      </c>
      <c r="I248" s="9">
        <v>0</v>
      </c>
      <c r="J248" s="8" t="s">
        <v>770</v>
      </c>
      <c r="K248" s="11" t="s">
        <v>807</v>
      </c>
      <c r="N248" s="15"/>
    </row>
    <row r="249" spans="1:14" x14ac:dyDescent="0.35">
      <c r="A249" s="8" t="s">
        <v>467</v>
      </c>
      <c r="B249" s="8" t="s">
        <v>468</v>
      </c>
      <c r="C249" s="9">
        <v>30.525697999999998</v>
      </c>
      <c r="D249" s="9">
        <v>47.838864000000001</v>
      </c>
      <c r="E249" s="8">
        <v>1923</v>
      </c>
      <c r="F249" s="8">
        <v>1932</v>
      </c>
      <c r="G249" s="9">
        <f t="shared" si="9"/>
        <v>9</v>
      </c>
      <c r="H249" s="8">
        <v>1931</v>
      </c>
      <c r="I249" s="9">
        <v>1</v>
      </c>
      <c r="J249" s="8" t="s">
        <v>770</v>
      </c>
      <c r="K249" s="11" t="s">
        <v>807</v>
      </c>
      <c r="N249" s="15"/>
    </row>
    <row r="250" spans="1:14" x14ac:dyDescent="0.35">
      <c r="A250" s="8" t="s">
        <v>9</v>
      </c>
      <c r="B250" s="8" t="s">
        <v>10</v>
      </c>
      <c r="C250" s="9">
        <v>52.568607999999998</v>
      </c>
      <c r="D250" s="9">
        <v>-9.8615530000000007</v>
      </c>
      <c r="E250" s="10">
        <v>1842</v>
      </c>
      <c r="F250" s="10">
        <v>1842</v>
      </c>
      <c r="G250" s="9">
        <f t="shared" si="9"/>
        <v>0.25</v>
      </c>
      <c r="H250" s="8" t="s">
        <v>11</v>
      </c>
      <c r="I250" s="9">
        <v>0.75</v>
      </c>
      <c r="J250" s="8" t="s">
        <v>798</v>
      </c>
      <c r="K250" s="11" t="s">
        <v>803</v>
      </c>
      <c r="N250" s="15"/>
    </row>
    <row r="251" spans="1:14" x14ac:dyDescent="0.35">
      <c r="A251" s="8" t="s">
        <v>12</v>
      </c>
      <c r="B251" s="8" t="s">
        <v>10</v>
      </c>
      <c r="C251" s="9">
        <v>52.631945999999999</v>
      </c>
      <c r="D251" s="9">
        <v>-9.5015389999999993</v>
      </c>
      <c r="E251" s="10">
        <v>1842</v>
      </c>
      <c r="F251" s="10">
        <v>1842</v>
      </c>
      <c r="G251" s="9">
        <f t="shared" si="9"/>
        <v>0.25</v>
      </c>
      <c r="H251" s="8" t="s">
        <v>11</v>
      </c>
      <c r="I251" s="9">
        <v>0.75</v>
      </c>
      <c r="J251" s="8" t="s">
        <v>798</v>
      </c>
      <c r="K251" s="11" t="s">
        <v>803</v>
      </c>
      <c r="N251" s="15"/>
    </row>
    <row r="252" spans="1:14" x14ac:dyDescent="0.35">
      <c r="A252" s="8" t="s">
        <v>13</v>
      </c>
      <c r="B252" s="8" t="s">
        <v>10</v>
      </c>
      <c r="C252" s="9">
        <v>52.624631999999998</v>
      </c>
      <c r="D252" s="9">
        <v>-9.1225000000000005</v>
      </c>
      <c r="E252" s="10">
        <v>1842</v>
      </c>
      <c r="F252" s="10">
        <v>1842</v>
      </c>
      <c r="G252" s="9">
        <f t="shared" si="9"/>
        <v>0.25</v>
      </c>
      <c r="H252" s="8" t="s">
        <v>11</v>
      </c>
      <c r="I252" s="9">
        <v>0.75</v>
      </c>
      <c r="J252" s="8" t="s">
        <v>798</v>
      </c>
      <c r="K252" s="11" t="s">
        <v>803</v>
      </c>
      <c r="N252" s="15"/>
    </row>
    <row r="253" spans="1:14" x14ac:dyDescent="0.35">
      <c r="A253" s="8" t="s">
        <v>14</v>
      </c>
      <c r="B253" s="8" t="s">
        <v>10</v>
      </c>
      <c r="C253" s="9">
        <v>52.662132</v>
      </c>
      <c r="D253" s="9">
        <v>-8.6348099999999999</v>
      </c>
      <c r="E253" s="10">
        <v>1842</v>
      </c>
      <c r="F253" s="10">
        <v>1842</v>
      </c>
      <c r="G253" s="9">
        <f t="shared" si="9"/>
        <v>0.25</v>
      </c>
      <c r="H253" s="8" t="s">
        <v>11</v>
      </c>
      <c r="I253" s="9">
        <v>0.75</v>
      </c>
      <c r="J253" s="8" t="s">
        <v>798</v>
      </c>
      <c r="K253" s="11" t="s">
        <v>803</v>
      </c>
      <c r="N253" s="15"/>
    </row>
    <row r="254" spans="1:14" x14ac:dyDescent="0.35">
      <c r="A254" s="8" t="s">
        <v>15</v>
      </c>
      <c r="B254" s="8" t="s">
        <v>10</v>
      </c>
      <c r="C254" s="9">
        <v>53.267076000000003</v>
      </c>
      <c r="D254" s="9">
        <v>-9.5585740000000001</v>
      </c>
      <c r="E254" s="10">
        <v>1842</v>
      </c>
      <c r="F254" s="10">
        <v>1842</v>
      </c>
      <c r="G254" s="9">
        <f t="shared" si="9"/>
        <v>0.25</v>
      </c>
      <c r="H254" s="8" t="s">
        <v>11</v>
      </c>
      <c r="I254" s="9">
        <v>0.75</v>
      </c>
      <c r="J254" s="8" t="s">
        <v>798</v>
      </c>
      <c r="K254" s="11" t="s">
        <v>803</v>
      </c>
      <c r="N254" s="15"/>
    </row>
    <row r="255" spans="1:14" x14ac:dyDescent="0.35">
      <c r="A255" s="8" t="s">
        <v>16</v>
      </c>
      <c r="B255" s="8" t="s">
        <v>10</v>
      </c>
      <c r="C255" s="9">
        <v>53.269551</v>
      </c>
      <c r="D255" s="9">
        <v>-9.0542350000000003</v>
      </c>
      <c r="E255" s="10">
        <v>1842</v>
      </c>
      <c r="F255" s="10">
        <v>1842</v>
      </c>
      <c r="G255" s="9">
        <f t="shared" si="9"/>
        <v>0.25</v>
      </c>
      <c r="H255" s="8" t="s">
        <v>11</v>
      </c>
      <c r="I255" s="9">
        <v>0.75</v>
      </c>
      <c r="J255" s="8" t="s">
        <v>798</v>
      </c>
      <c r="K255" s="11" t="s">
        <v>803</v>
      </c>
      <c r="N255" s="15"/>
    </row>
    <row r="256" spans="1:14" x14ac:dyDescent="0.35">
      <c r="A256" s="8" t="s">
        <v>17</v>
      </c>
      <c r="B256" s="8" t="s">
        <v>10</v>
      </c>
      <c r="C256" s="9">
        <v>53.778106000000001</v>
      </c>
      <c r="D256" s="9">
        <v>-9.7682339999999996</v>
      </c>
      <c r="E256" s="10">
        <v>1842</v>
      </c>
      <c r="F256" s="10">
        <v>1842</v>
      </c>
      <c r="G256" s="9">
        <f t="shared" si="9"/>
        <v>0.25</v>
      </c>
      <c r="H256" s="8" t="s">
        <v>11</v>
      </c>
      <c r="I256" s="9">
        <v>0.75</v>
      </c>
      <c r="J256" s="8" t="s">
        <v>798</v>
      </c>
      <c r="K256" s="11" t="s">
        <v>803</v>
      </c>
      <c r="N256" s="15"/>
    </row>
    <row r="257" spans="1:14" x14ac:dyDescent="0.35">
      <c r="A257" s="8" t="s">
        <v>18</v>
      </c>
      <c r="B257" s="8" t="s">
        <v>10</v>
      </c>
      <c r="C257" s="9">
        <v>54.465772999999999</v>
      </c>
      <c r="D257" s="9">
        <v>-8.447101</v>
      </c>
      <c r="E257" s="10">
        <v>1842</v>
      </c>
      <c r="F257" s="10">
        <v>1842</v>
      </c>
      <c r="G257" s="9">
        <f t="shared" si="9"/>
        <v>0.25</v>
      </c>
      <c r="H257" s="8" t="s">
        <v>11</v>
      </c>
      <c r="I257" s="9">
        <v>0.75</v>
      </c>
      <c r="J257" s="8" t="s">
        <v>798</v>
      </c>
      <c r="K257" s="11" t="s">
        <v>803</v>
      </c>
      <c r="N257" s="15"/>
    </row>
    <row r="258" spans="1:14" x14ac:dyDescent="0.35">
      <c r="A258" s="8" t="s">
        <v>19</v>
      </c>
      <c r="B258" s="8" t="s">
        <v>10</v>
      </c>
      <c r="C258" s="9">
        <v>55.140886999999999</v>
      </c>
      <c r="D258" s="9">
        <v>-7.4750969999999999</v>
      </c>
      <c r="E258" s="10">
        <v>1842</v>
      </c>
      <c r="F258" s="10">
        <v>1842</v>
      </c>
      <c r="G258" s="9">
        <f t="shared" si="9"/>
        <v>0.25</v>
      </c>
      <c r="H258" s="8" t="s">
        <v>11</v>
      </c>
      <c r="I258" s="9">
        <v>0.75</v>
      </c>
      <c r="J258" s="8" t="s">
        <v>798</v>
      </c>
      <c r="K258" s="11" t="s">
        <v>803</v>
      </c>
      <c r="N258" s="15"/>
    </row>
    <row r="259" spans="1:14" x14ac:dyDescent="0.35">
      <c r="A259" s="8" t="s">
        <v>20</v>
      </c>
      <c r="B259" s="8" t="s">
        <v>10</v>
      </c>
      <c r="C259" s="9">
        <v>55.205671000000002</v>
      </c>
      <c r="D259" s="9">
        <v>-6.6596209999999996</v>
      </c>
      <c r="E259" s="10">
        <v>1842</v>
      </c>
      <c r="F259" s="10">
        <v>1842</v>
      </c>
      <c r="G259" s="9">
        <f t="shared" si="9"/>
        <v>0.25</v>
      </c>
      <c r="H259" s="8" t="s">
        <v>11</v>
      </c>
      <c r="I259" s="9">
        <v>0.75</v>
      </c>
      <c r="J259" s="8" t="s">
        <v>798</v>
      </c>
      <c r="K259" s="11" t="s">
        <v>803</v>
      </c>
      <c r="N259" s="15"/>
    </row>
    <row r="260" spans="1:14" x14ac:dyDescent="0.35">
      <c r="A260" s="8" t="s">
        <v>21</v>
      </c>
      <c r="B260" s="8" t="s">
        <v>10</v>
      </c>
      <c r="C260" s="9">
        <f>55+(7/60)</f>
        <v>55.116666666666667</v>
      </c>
      <c r="D260" s="9">
        <v>-7.1833333000000001</v>
      </c>
      <c r="E260" s="10">
        <v>1842</v>
      </c>
      <c r="F260" s="10">
        <v>1842</v>
      </c>
      <c r="G260" s="9">
        <f t="shared" si="9"/>
        <v>0.25</v>
      </c>
      <c r="H260" s="8" t="s">
        <v>11</v>
      </c>
      <c r="I260" s="9">
        <v>0.75</v>
      </c>
      <c r="J260" s="8" t="s">
        <v>798</v>
      </c>
      <c r="K260" s="11" t="s">
        <v>803</v>
      </c>
      <c r="N260" s="15"/>
    </row>
    <row r="261" spans="1:14" x14ac:dyDescent="0.35">
      <c r="A261" s="8" t="s">
        <v>22</v>
      </c>
      <c r="B261" s="8" t="s">
        <v>10</v>
      </c>
      <c r="C261" s="9">
        <f>54+(56/60)</f>
        <v>54.93333333333333</v>
      </c>
      <c r="D261" s="9">
        <v>-5.9333330000000002</v>
      </c>
      <c r="E261" s="10">
        <v>1842</v>
      </c>
      <c r="F261" s="10">
        <v>1842</v>
      </c>
      <c r="G261" s="9">
        <f t="shared" si="9"/>
        <v>0.25</v>
      </c>
      <c r="H261" s="8" t="s">
        <v>11</v>
      </c>
      <c r="I261" s="9">
        <v>0.75</v>
      </c>
      <c r="J261" s="8" t="s">
        <v>798</v>
      </c>
      <c r="K261" s="11" t="s">
        <v>803</v>
      </c>
      <c r="N261" s="15"/>
    </row>
    <row r="262" spans="1:14" x14ac:dyDescent="0.35">
      <c r="A262" s="8" t="s">
        <v>23</v>
      </c>
      <c r="B262" s="8" t="s">
        <v>10</v>
      </c>
      <c r="C262" s="9">
        <f>54+(39/60)</f>
        <v>54.65</v>
      </c>
      <c r="D262" s="9">
        <v>-5.5333329999999998</v>
      </c>
      <c r="E262" s="10">
        <v>1842</v>
      </c>
      <c r="F262" s="10">
        <v>1842</v>
      </c>
      <c r="G262" s="9">
        <f t="shared" si="9"/>
        <v>0.25</v>
      </c>
      <c r="H262" s="8" t="s">
        <v>11</v>
      </c>
      <c r="I262" s="9">
        <v>0.75</v>
      </c>
      <c r="J262" s="8" t="s">
        <v>798</v>
      </c>
      <c r="K262" s="11" t="s">
        <v>803</v>
      </c>
      <c r="N262" s="15"/>
    </row>
    <row r="263" spans="1:14" x14ac:dyDescent="0.35">
      <c r="A263" s="8" t="s">
        <v>24</v>
      </c>
      <c r="B263" s="8" t="s">
        <v>10</v>
      </c>
      <c r="C263" s="9">
        <f>54+(15/60)</f>
        <v>54.25</v>
      </c>
      <c r="D263" s="9">
        <v>-5.5833300000000001</v>
      </c>
      <c r="E263" s="10">
        <v>1842</v>
      </c>
      <c r="F263" s="10">
        <v>1842</v>
      </c>
      <c r="G263" s="9">
        <f t="shared" si="9"/>
        <v>0.25</v>
      </c>
      <c r="H263" s="8" t="s">
        <v>11</v>
      </c>
      <c r="I263" s="9">
        <v>0.75</v>
      </c>
      <c r="J263" s="8" t="s">
        <v>798</v>
      </c>
      <c r="K263" s="11" t="s">
        <v>803</v>
      </c>
      <c r="N263" s="15"/>
    </row>
    <row r="264" spans="1:14" x14ac:dyDescent="0.35">
      <c r="A264" s="8" t="s">
        <v>25</v>
      </c>
      <c r="B264" s="8" t="s">
        <v>10</v>
      </c>
      <c r="C264" s="9">
        <f>53+(48/60)</f>
        <v>53.8</v>
      </c>
      <c r="D264" s="9">
        <v>-6.233333</v>
      </c>
      <c r="E264" s="10">
        <v>1842</v>
      </c>
      <c r="F264" s="10">
        <v>1842</v>
      </c>
      <c r="G264" s="9">
        <f t="shared" si="9"/>
        <v>0.25</v>
      </c>
      <c r="H264" s="8" t="s">
        <v>11</v>
      </c>
      <c r="I264" s="9">
        <v>0.75</v>
      </c>
      <c r="J264" s="8" t="s">
        <v>798</v>
      </c>
      <c r="K264" s="11" t="s">
        <v>803</v>
      </c>
      <c r="N264" s="15"/>
    </row>
    <row r="265" spans="1:14" x14ac:dyDescent="0.35">
      <c r="A265" s="8" t="s">
        <v>26</v>
      </c>
      <c r="B265" s="8" t="s">
        <v>10</v>
      </c>
      <c r="C265" s="9">
        <f>53+(18/60)</f>
        <v>53.3</v>
      </c>
      <c r="D265" s="9">
        <v>-6.15</v>
      </c>
      <c r="E265" s="10">
        <v>1842</v>
      </c>
      <c r="F265" s="10">
        <v>1842</v>
      </c>
      <c r="G265" s="9">
        <f t="shared" si="9"/>
        <v>0.25</v>
      </c>
      <c r="H265" s="8" t="s">
        <v>11</v>
      </c>
      <c r="I265" s="9">
        <v>0.75</v>
      </c>
      <c r="J265" s="8" t="s">
        <v>798</v>
      </c>
      <c r="K265" s="11" t="s">
        <v>803</v>
      </c>
      <c r="N265" s="15"/>
    </row>
    <row r="266" spans="1:14" x14ac:dyDescent="0.35">
      <c r="A266" s="8" t="s">
        <v>27</v>
      </c>
      <c r="B266" s="8" t="s">
        <v>10</v>
      </c>
      <c r="C266" s="9">
        <f>52+(9/60)</f>
        <v>52.15</v>
      </c>
      <c r="D266" s="9">
        <v>-6.983333</v>
      </c>
      <c r="E266" s="10">
        <v>1842</v>
      </c>
      <c r="F266" s="10">
        <v>1842</v>
      </c>
      <c r="G266" s="9">
        <f t="shared" si="9"/>
        <v>0.25</v>
      </c>
      <c r="H266" s="8" t="s">
        <v>11</v>
      </c>
      <c r="I266" s="9">
        <v>0.75</v>
      </c>
      <c r="J266" s="8" t="s">
        <v>798</v>
      </c>
      <c r="K266" s="11" t="s">
        <v>803</v>
      </c>
      <c r="N266" s="15"/>
    </row>
    <row r="267" spans="1:14" x14ac:dyDescent="0.35">
      <c r="A267" s="8" t="s">
        <v>28</v>
      </c>
      <c r="B267" s="8" t="s">
        <v>10</v>
      </c>
      <c r="C267" s="9">
        <f>52+(24/60)</f>
        <v>52.4</v>
      </c>
      <c r="D267" s="9">
        <v>-6.9333330000000002</v>
      </c>
      <c r="E267" s="10">
        <v>1842</v>
      </c>
      <c r="F267" s="10">
        <v>1842</v>
      </c>
      <c r="G267" s="9">
        <f t="shared" si="9"/>
        <v>0.25</v>
      </c>
      <c r="H267" s="8" t="s">
        <v>11</v>
      </c>
      <c r="I267" s="9">
        <v>0.75</v>
      </c>
      <c r="J267" s="8" t="s">
        <v>798</v>
      </c>
      <c r="K267" s="11" t="s">
        <v>803</v>
      </c>
      <c r="N267" s="15"/>
    </row>
    <row r="268" spans="1:14" x14ac:dyDescent="0.35">
      <c r="A268" s="8" t="s">
        <v>542</v>
      </c>
      <c r="B268" s="8" t="s">
        <v>10</v>
      </c>
      <c r="C268" s="9">
        <v>52.980525999999998</v>
      </c>
      <c r="D268" s="9">
        <v>-6.0345930000000001</v>
      </c>
      <c r="E268" s="8">
        <v>1968</v>
      </c>
      <c r="F268" s="8">
        <v>1969</v>
      </c>
      <c r="G268" s="9">
        <f t="shared" si="9"/>
        <v>2</v>
      </c>
      <c r="H268" s="8" t="s">
        <v>31</v>
      </c>
      <c r="I268" s="9">
        <v>0</v>
      </c>
      <c r="J268" s="8" t="s">
        <v>770</v>
      </c>
      <c r="K268" s="11" t="s">
        <v>807</v>
      </c>
      <c r="N268" s="15"/>
    </row>
    <row r="269" spans="1:14" x14ac:dyDescent="0.35">
      <c r="A269" s="8" t="s">
        <v>29</v>
      </c>
      <c r="B269" s="8" t="s">
        <v>30</v>
      </c>
      <c r="C269" s="4">
        <v>45.649358999999997</v>
      </c>
      <c r="D269" s="4">
        <v>13.761654</v>
      </c>
      <c r="E269" s="10">
        <v>1859</v>
      </c>
      <c r="F269" s="10">
        <v>1874</v>
      </c>
      <c r="G269" s="9">
        <f t="shared" si="9"/>
        <v>16</v>
      </c>
      <c r="H269" s="8" t="s">
        <v>31</v>
      </c>
      <c r="I269" s="9">
        <v>0</v>
      </c>
      <c r="J269" s="8" t="s">
        <v>798</v>
      </c>
      <c r="K269" s="11" t="s">
        <v>804</v>
      </c>
      <c r="N269" s="15"/>
    </row>
    <row r="270" spans="1:14" x14ac:dyDescent="0.35">
      <c r="A270" s="12" t="s">
        <v>240</v>
      </c>
      <c r="B270" s="12" t="s">
        <v>30</v>
      </c>
      <c r="C270" s="4">
        <v>38.194481000000003</v>
      </c>
      <c r="D270" s="4">
        <v>15.569350999999999</v>
      </c>
      <c r="E270" s="8">
        <v>1858</v>
      </c>
      <c r="F270" s="8">
        <v>1858</v>
      </c>
      <c r="G270" s="9">
        <f t="shared" si="9"/>
        <v>1</v>
      </c>
      <c r="H270" s="8" t="s">
        <v>31</v>
      </c>
      <c r="I270" s="9">
        <v>0</v>
      </c>
      <c r="J270" s="8" t="s">
        <v>799</v>
      </c>
      <c r="K270" s="11" t="s">
        <v>806</v>
      </c>
      <c r="N270" s="15"/>
    </row>
    <row r="271" spans="1:14" x14ac:dyDescent="0.35">
      <c r="A271" s="8" t="s">
        <v>770</v>
      </c>
      <c r="B271" s="12" t="s">
        <v>296</v>
      </c>
      <c r="C271" s="4">
        <v>5.315493</v>
      </c>
      <c r="D271" s="4">
        <v>-4.3874360000000001</v>
      </c>
      <c r="E271" s="8">
        <v>1961</v>
      </c>
      <c r="F271" s="8">
        <v>1965</v>
      </c>
      <c r="G271" s="9">
        <f t="shared" si="9"/>
        <v>5</v>
      </c>
      <c r="H271" s="8" t="s">
        <v>31</v>
      </c>
      <c r="I271" s="9">
        <v>0</v>
      </c>
      <c r="J271" s="8" t="s">
        <v>798</v>
      </c>
      <c r="K271" s="11" t="s">
        <v>806</v>
      </c>
      <c r="N271" s="15"/>
    </row>
    <row r="272" spans="1:14" x14ac:dyDescent="0.35">
      <c r="A272" s="12" t="s">
        <v>297</v>
      </c>
      <c r="B272" s="12" t="s">
        <v>296</v>
      </c>
      <c r="C272" s="4">
        <v>5.2880700000000003</v>
      </c>
      <c r="D272" s="4">
        <v>-3.9965199999999999</v>
      </c>
      <c r="E272" s="8">
        <v>1951</v>
      </c>
      <c r="F272" s="8">
        <v>1952</v>
      </c>
      <c r="G272" s="9">
        <f t="shared" si="9"/>
        <v>2</v>
      </c>
      <c r="H272" s="8" t="s">
        <v>31</v>
      </c>
      <c r="I272" s="9">
        <v>0</v>
      </c>
      <c r="J272" s="8" t="s">
        <v>798</v>
      </c>
      <c r="K272" s="11" t="s">
        <v>806</v>
      </c>
      <c r="N272" s="15"/>
    </row>
    <row r="273" spans="1:14" x14ac:dyDescent="0.35">
      <c r="A273" s="12" t="s">
        <v>297</v>
      </c>
      <c r="B273" s="12" t="s">
        <v>296</v>
      </c>
      <c r="C273" s="4">
        <v>5.2880700000000003</v>
      </c>
      <c r="D273" s="4">
        <v>-3.9965199999999999</v>
      </c>
      <c r="E273" s="8">
        <v>1953</v>
      </c>
      <c r="F273" s="8">
        <v>1953</v>
      </c>
      <c r="G273" s="9">
        <f t="shared" si="9"/>
        <v>1</v>
      </c>
      <c r="H273" s="8" t="s">
        <v>31</v>
      </c>
      <c r="I273" s="9">
        <v>0</v>
      </c>
      <c r="J273" s="8" t="s">
        <v>799</v>
      </c>
      <c r="K273" s="11" t="s">
        <v>806</v>
      </c>
      <c r="N273" s="15"/>
    </row>
    <row r="274" spans="1:14" x14ac:dyDescent="0.35">
      <c r="A274" s="7" t="s">
        <v>766</v>
      </c>
      <c r="B274" s="8" t="s">
        <v>296</v>
      </c>
      <c r="C274" s="9">
        <v>5.3038499999999997</v>
      </c>
      <c r="D274" s="9">
        <v>-4.0261300000000002</v>
      </c>
      <c r="E274" s="8">
        <v>1912</v>
      </c>
      <c r="F274" s="8">
        <v>1965</v>
      </c>
      <c r="G274" s="9">
        <f t="shared" si="9"/>
        <v>8.1420260095824801</v>
      </c>
      <c r="H274" s="9" t="s">
        <v>770</v>
      </c>
      <c r="I274" s="9">
        <f>0.75+(9/365.25)+(1/12)+9+16+20</f>
        <v>45.85797399041752</v>
      </c>
      <c r="J274" s="8" t="s">
        <v>767</v>
      </c>
      <c r="K274" s="11" t="s">
        <v>813</v>
      </c>
      <c r="N274" s="15"/>
    </row>
    <row r="275" spans="1:14" x14ac:dyDescent="0.35">
      <c r="A275" s="8" t="s">
        <v>505</v>
      </c>
      <c r="B275" s="8" t="s">
        <v>506</v>
      </c>
      <c r="C275" s="9">
        <v>28.732051999999999</v>
      </c>
      <c r="D275" s="9">
        <v>48.391736000000002</v>
      </c>
      <c r="E275" s="8">
        <v>1966</v>
      </c>
      <c r="F275" s="8">
        <v>1967</v>
      </c>
      <c r="G275" s="9">
        <f t="shared" si="9"/>
        <v>2</v>
      </c>
      <c r="H275" s="8" t="s">
        <v>31</v>
      </c>
      <c r="I275" s="9">
        <v>0</v>
      </c>
      <c r="J275" s="8" t="s">
        <v>770</v>
      </c>
      <c r="K275" s="11" t="s">
        <v>807</v>
      </c>
      <c r="N275" s="15"/>
    </row>
    <row r="276" spans="1:14" x14ac:dyDescent="0.35">
      <c r="A276" s="8" t="s">
        <v>770</v>
      </c>
      <c r="B276" s="12" t="s">
        <v>337</v>
      </c>
      <c r="C276" s="4">
        <v>-20.935057</v>
      </c>
      <c r="D276" s="4">
        <v>55.287080000000003</v>
      </c>
      <c r="E276" s="8">
        <v>1840</v>
      </c>
      <c r="F276" s="8">
        <v>1948</v>
      </c>
      <c r="G276" s="9">
        <f t="shared" si="9"/>
        <v>9</v>
      </c>
      <c r="H276" s="8" t="s">
        <v>338</v>
      </c>
      <c r="I276" s="9">
        <v>100</v>
      </c>
      <c r="J276" s="8" t="s">
        <v>799</v>
      </c>
      <c r="K276" s="11" t="s">
        <v>806</v>
      </c>
      <c r="N276" s="15"/>
    </row>
    <row r="277" spans="1:14" x14ac:dyDescent="0.35">
      <c r="A277" s="8" t="s">
        <v>770</v>
      </c>
      <c r="B277" s="12" t="s">
        <v>339</v>
      </c>
      <c r="C277" s="4">
        <v>-12.167047999999999</v>
      </c>
      <c r="D277" s="4">
        <v>44.390352</v>
      </c>
      <c r="E277" s="8">
        <v>1962</v>
      </c>
      <c r="F277" s="8">
        <v>1964</v>
      </c>
      <c r="G277" s="9">
        <f t="shared" si="9"/>
        <v>3</v>
      </c>
      <c r="H277" s="8" t="s">
        <v>31</v>
      </c>
      <c r="I277" s="9">
        <v>0</v>
      </c>
      <c r="J277" s="8" t="s">
        <v>798</v>
      </c>
      <c r="K277" s="11" t="s">
        <v>806</v>
      </c>
      <c r="N277" s="15"/>
    </row>
    <row r="278" spans="1:14" x14ac:dyDescent="0.35">
      <c r="A278" s="8" t="s">
        <v>770</v>
      </c>
      <c r="B278" s="12" t="s">
        <v>314</v>
      </c>
      <c r="C278" s="4">
        <v>-18.924959999999999</v>
      </c>
      <c r="D278" s="4">
        <v>46.441642000000002</v>
      </c>
      <c r="E278" s="8">
        <v>1888</v>
      </c>
      <c r="F278" s="8">
        <v>1960</v>
      </c>
      <c r="G278" s="9">
        <f t="shared" si="9"/>
        <v>28</v>
      </c>
      <c r="H278" s="8" t="s">
        <v>315</v>
      </c>
      <c r="I278" s="9">
        <v>45</v>
      </c>
      <c r="J278" s="8" t="s">
        <v>798</v>
      </c>
      <c r="K278" s="11" t="s">
        <v>806</v>
      </c>
      <c r="N278" s="15"/>
    </row>
    <row r="279" spans="1:14" x14ac:dyDescent="0.35">
      <c r="A279" s="12" t="s">
        <v>316</v>
      </c>
      <c r="B279" s="12" t="s">
        <v>314</v>
      </c>
      <c r="C279" s="4">
        <v>-15.635132</v>
      </c>
      <c r="D279" s="4">
        <v>49.7742</v>
      </c>
      <c r="E279" s="8">
        <v>1936</v>
      </c>
      <c r="F279" s="8">
        <v>1937</v>
      </c>
      <c r="G279" s="9">
        <f t="shared" si="9"/>
        <v>2</v>
      </c>
      <c r="H279" s="8" t="s">
        <v>31</v>
      </c>
      <c r="I279" s="9">
        <v>0</v>
      </c>
      <c r="J279" s="8" t="s">
        <v>770</v>
      </c>
      <c r="K279" s="11" t="s">
        <v>806</v>
      </c>
      <c r="N279" s="15"/>
    </row>
    <row r="280" spans="1:14" x14ac:dyDescent="0.35">
      <c r="A280" s="6" t="s">
        <v>317</v>
      </c>
      <c r="B280" s="12" t="s">
        <v>314</v>
      </c>
      <c r="C280" s="4">
        <v>-18.160724999999999</v>
      </c>
      <c r="D280" s="4">
        <v>49.426853999999999</v>
      </c>
      <c r="E280" s="8">
        <v>1900</v>
      </c>
      <c r="F280" s="8">
        <v>1962</v>
      </c>
      <c r="G280" s="9">
        <f t="shared" si="9"/>
        <v>5</v>
      </c>
      <c r="H280" s="8" t="s">
        <v>318</v>
      </c>
      <c r="I280" s="9">
        <v>58</v>
      </c>
      <c r="J280" s="8" t="s">
        <v>798</v>
      </c>
      <c r="K280" s="11" t="s">
        <v>806</v>
      </c>
      <c r="N280" s="15"/>
    </row>
    <row r="281" spans="1:14" x14ac:dyDescent="0.35">
      <c r="A281" s="6" t="s">
        <v>317</v>
      </c>
      <c r="B281" s="12" t="s">
        <v>314</v>
      </c>
      <c r="C281" s="4">
        <v>-18.160724999999999</v>
      </c>
      <c r="D281" s="4">
        <v>49.426853999999999</v>
      </c>
      <c r="E281" s="8">
        <v>1901</v>
      </c>
      <c r="F281" s="8">
        <v>1907</v>
      </c>
      <c r="G281" s="9">
        <f t="shared" ref="G281:G344" si="10">(1+(F281-E281))-I281</f>
        <v>7</v>
      </c>
      <c r="H281" s="8" t="s">
        <v>31</v>
      </c>
      <c r="I281" s="9">
        <v>0</v>
      </c>
      <c r="J281" s="8" t="s">
        <v>770</v>
      </c>
      <c r="K281" s="11" t="s">
        <v>806</v>
      </c>
      <c r="N281" s="15"/>
    </row>
    <row r="282" spans="1:14" x14ac:dyDescent="0.35">
      <c r="A282" s="12" t="s">
        <v>319</v>
      </c>
      <c r="B282" s="12" t="s">
        <v>314</v>
      </c>
      <c r="C282" s="4">
        <v>-13.406396000000001</v>
      </c>
      <c r="D282" s="4">
        <v>48.279004</v>
      </c>
      <c r="E282" s="8">
        <v>1900</v>
      </c>
      <c r="F282" s="8">
        <v>1908</v>
      </c>
      <c r="G282" s="9">
        <f t="shared" si="10"/>
        <v>4</v>
      </c>
      <c r="H282" s="8" t="s">
        <v>320</v>
      </c>
      <c r="I282" s="9">
        <v>5</v>
      </c>
      <c r="J282" s="8" t="s">
        <v>798</v>
      </c>
      <c r="K282" s="11" t="s">
        <v>806</v>
      </c>
      <c r="N282" s="15"/>
    </row>
    <row r="283" spans="1:14" x14ac:dyDescent="0.35">
      <c r="A283" s="12" t="s">
        <v>321</v>
      </c>
      <c r="B283" s="12" t="s">
        <v>314</v>
      </c>
      <c r="C283" s="4">
        <v>-23.955748</v>
      </c>
      <c r="D283" s="4">
        <v>47.506714000000002</v>
      </c>
      <c r="E283" s="8">
        <v>1936</v>
      </c>
      <c r="F283" s="8">
        <v>1937</v>
      </c>
      <c r="G283" s="9">
        <f t="shared" si="10"/>
        <v>2</v>
      </c>
      <c r="H283" s="8" t="s">
        <v>31</v>
      </c>
      <c r="I283" s="9">
        <v>0</v>
      </c>
      <c r="J283" s="8" t="s">
        <v>770</v>
      </c>
      <c r="K283" s="11" t="s">
        <v>806</v>
      </c>
      <c r="N283" s="15"/>
    </row>
    <row r="284" spans="1:14" x14ac:dyDescent="0.35">
      <c r="A284" s="12" t="s">
        <v>321</v>
      </c>
      <c r="B284" s="12" t="s">
        <v>314</v>
      </c>
      <c r="C284" s="4">
        <v>-23.955748</v>
      </c>
      <c r="D284" s="4">
        <v>47.506714000000002</v>
      </c>
      <c r="E284" s="8">
        <v>1951</v>
      </c>
      <c r="F284" s="8">
        <v>1952</v>
      </c>
      <c r="G284" s="9">
        <f t="shared" si="10"/>
        <v>2</v>
      </c>
      <c r="H284" s="8" t="s">
        <v>31</v>
      </c>
      <c r="I284" s="9">
        <v>0</v>
      </c>
      <c r="J284" s="8" t="s">
        <v>798</v>
      </c>
      <c r="K284" s="11" t="s">
        <v>806</v>
      </c>
      <c r="N284" s="15"/>
    </row>
    <row r="285" spans="1:14" x14ac:dyDescent="0.35">
      <c r="A285" s="12" t="s">
        <v>322</v>
      </c>
      <c r="B285" s="12" t="s">
        <v>314</v>
      </c>
      <c r="C285" s="4">
        <v>-23.594760000000001</v>
      </c>
      <c r="D285" s="4">
        <v>43.712913999999998</v>
      </c>
      <c r="E285" s="8">
        <v>1948</v>
      </c>
      <c r="F285" s="8">
        <v>1949</v>
      </c>
      <c r="G285" s="9">
        <f t="shared" si="10"/>
        <v>2</v>
      </c>
      <c r="H285" s="8" t="s">
        <v>31</v>
      </c>
      <c r="I285" s="9">
        <v>0</v>
      </c>
      <c r="J285" s="8" t="s">
        <v>798</v>
      </c>
      <c r="K285" s="11" t="s">
        <v>806</v>
      </c>
      <c r="N285" s="15"/>
    </row>
    <row r="286" spans="1:14" x14ac:dyDescent="0.35">
      <c r="A286" s="12" t="s">
        <v>323</v>
      </c>
      <c r="B286" s="12" t="s">
        <v>314</v>
      </c>
      <c r="C286" s="4">
        <v>-23.355132000000001</v>
      </c>
      <c r="D286" s="4">
        <v>43.664352999999998</v>
      </c>
      <c r="E286" s="8">
        <v>1951</v>
      </c>
      <c r="F286" s="8">
        <v>1952</v>
      </c>
      <c r="G286" s="9">
        <f t="shared" si="10"/>
        <v>2</v>
      </c>
      <c r="H286" s="8" t="s">
        <v>31</v>
      </c>
      <c r="I286" s="9">
        <v>0</v>
      </c>
      <c r="J286" s="8" t="s">
        <v>798</v>
      </c>
      <c r="K286" s="11" t="s">
        <v>806</v>
      </c>
      <c r="N286" s="15"/>
    </row>
    <row r="287" spans="1:14" x14ac:dyDescent="0.35">
      <c r="A287" s="12" t="s">
        <v>324</v>
      </c>
      <c r="B287" s="12" t="s">
        <v>314</v>
      </c>
      <c r="C287" s="4">
        <v>-21.740003999999999</v>
      </c>
      <c r="D287" s="4">
        <v>43.364203000000003</v>
      </c>
      <c r="E287" s="8">
        <v>1960</v>
      </c>
      <c r="F287" s="8">
        <v>1962</v>
      </c>
      <c r="G287" s="9">
        <f t="shared" si="10"/>
        <v>3</v>
      </c>
      <c r="H287" s="8" t="s">
        <v>31</v>
      </c>
      <c r="I287" s="9">
        <v>0</v>
      </c>
      <c r="J287" s="8" t="s">
        <v>798</v>
      </c>
      <c r="K287" s="11" t="s">
        <v>806</v>
      </c>
      <c r="N287" s="15"/>
    </row>
    <row r="288" spans="1:14" x14ac:dyDescent="0.35">
      <c r="A288" s="12" t="s">
        <v>325</v>
      </c>
      <c r="B288" s="12" t="s">
        <v>314</v>
      </c>
      <c r="C288" s="4">
        <v>-16.187052000000001</v>
      </c>
      <c r="D288" s="4">
        <v>44.451298999999999</v>
      </c>
      <c r="E288" s="8">
        <v>1899</v>
      </c>
      <c r="F288" s="8">
        <v>1899</v>
      </c>
      <c r="G288" s="9">
        <f t="shared" si="10"/>
        <v>1</v>
      </c>
      <c r="H288" s="8" t="s">
        <v>31</v>
      </c>
      <c r="I288" s="9">
        <v>0</v>
      </c>
      <c r="J288" s="8" t="s">
        <v>799</v>
      </c>
      <c r="K288" s="11" t="s">
        <v>806</v>
      </c>
      <c r="N288" s="15"/>
    </row>
    <row r="289" spans="1:14" x14ac:dyDescent="0.35">
      <c r="A289" s="12" t="s">
        <v>326</v>
      </c>
      <c r="B289" s="12" t="s">
        <v>314</v>
      </c>
      <c r="C289" s="4">
        <v>-15.724512000000001</v>
      </c>
      <c r="D289" s="4">
        <v>46.319868999999997</v>
      </c>
      <c r="E289" s="8">
        <v>1900</v>
      </c>
      <c r="F289" s="8">
        <v>1900</v>
      </c>
      <c r="G289" s="9">
        <f t="shared" si="10"/>
        <v>1</v>
      </c>
      <c r="H289" s="8" t="s">
        <v>31</v>
      </c>
      <c r="I289" s="9">
        <v>0</v>
      </c>
      <c r="J289" s="8" t="s">
        <v>799</v>
      </c>
      <c r="K289" s="11" t="s">
        <v>806</v>
      </c>
      <c r="N289" s="15"/>
    </row>
    <row r="290" spans="1:14" x14ac:dyDescent="0.35">
      <c r="A290" s="12" t="s">
        <v>326</v>
      </c>
      <c r="B290" s="12" t="s">
        <v>314</v>
      </c>
      <c r="C290" s="4">
        <v>-15.724512000000001</v>
      </c>
      <c r="D290" s="4">
        <v>46.319868999999997</v>
      </c>
      <c r="E290" s="8">
        <v>1900</v>
      </c>
      <c r="F290" s="8">
        <v>1962</v>
      </c>
      <c r="G290" s="9">
        <f t="shared" si="10"/>
        <v>11</v>
      </c>
      <c r="H290" s="8" t="s">
        <v>327</v>
      </c>
      <c r="I290" s="9">
        <v>52</v>
      </c>
      <c r="J290" s="8" t="s">
        <v>798</v>
      </c>
      <c r="K290" s="11" t="s">
        <v>806</v>
      </c>
      <c r="N290" s="15"/>
    </row>
    <row r="291" spans="1:14" x14ac:dyDescent="0.35">
      <c r="A291" s="12" t="s">
        <v>328</v>
      </c>
      <c r="B291" s="12" t="s">
        <v>314</v>
      </c>
      <c r="C291" s="4">
        <v>-12.267495</v>
      </c>
      <c r="D291" s="4">
        <v>49.288618</v>
      </c>
      <c r="E291" s="8">
        <v>1888</v>
      </c>
      <c r="F291" s="8">
        <v>1909</v>
      </c>
      <c r="G291" s="9">
        <f t="shared" si="10"/>
        <v>5</v>
      </c>
      <c r="H291" s="8" t="s">
        <v>329</v>
      </c>
      <c r="I291" s="9">
        <v>17</v>
      </c>
      <c r="J291" s="8" t="s">
        <v>799</v>
      </c>
      <c r="K291" s="11" t="s">
        <v>806</v>
      </c>
      <c r="N291" s="15"/>
    </row>
    <row r="292" spans="1:14" x14ac:dyDescent="0.35">
      <c r="A292" s="12" t="s">
        <v>328</v>
      </c>
      <c r="B292" s="12" t="s">
        <v>314</v>
      </c>
      <c r="C292" s="4">
        <v>-12.267495</v>
      </c>
      <c r="D292" s="4">
        <v>49.288618</v>
      </c>
      <c r="E292" s="8">
        <v>1888</v>
      </c>
      <c r="F292" s="8">
        <v>1962</v>
      </c>
      <c r="G292" s="9">
        <f t="shared" si="10"/>
        <v>12</v>
      </c>
      <c r="H292" s="8" t="s">
        <v>330</v>
      </c>
      <c r="I292" s="9">
        <v>63</v>
      </c>
      <c r="J292" s="8" t="s">
        <v>798</v>
      </c>
      <c r="K292" s="11" t="s">
        <v>806</v>
      </c>
      <c r="N292" s="15"/>
    </row>
    <row r="293" spans="1:14" x14ac:dyDescent="0.35">
      <c r="A293" s="12" t="s">
        <v>331</v>
      </c>
      <c r="B293" s="12" t="s">
        <v>314</v>
      </c>
      <c r="C293" s="4">
        <v>-17.244744000000001</v>
      </c>
      <c r="D293" s="4">
        <v>44.085574000000001</v>
      </c>
      <c r="E293" s="8">
        <v>1901</v>
      </c>
      <c r="F293" s="8">
        <v>1901</v>
      </c>
      <c r="G293" s="9">
        <f t="shared" si="10"/>
        <v>1</v>
      </c>
      <c r="H293" s="8" t="s">
        <v>31</v>
      </c>
      <c r="I293" s="9">
        <v>0</v>
      </c>
      <c r="J293" s="8" t="s">
        <v>798</v>
      </c>
      <c r="K293" s="11" t="s">
        <v>806</v>
      </c>
      <c r="N293" s="15"/>
    </row>
    <row r="294" spans="1:14" x14ac:dyDescent="0.35">
      <c r="A294" s="12" t="s">
        <v>331</v>
      </c>
      <c r="B294" s="12" t="s">
        <v>314</v>
      </c>
      <c r="C294" s="4">
        <v>-17.244744000000001</v>
      </c>
      <c r="D294" s="4">
        <v>44.085574000000001</v>
      </c>
      <c r="E294" s="8">
        <v>1903</v>
      </c>
      <c r="F294" s="8">
        <v>1903</v>
      </c>
      <c r="G294" s="9">
        <f t="shared" si="10"/>
        <v>1</v>
      </c>
      <c r="H294" s="8" t="s">
        <v>31</v>
      </c>
      <c r="I294" s="9">
        <v>0</v>
      </c>
      <c r="J294" s="8" t="s">
        <v>799</v>
      </c>
      <c r="K294" s="11" t="s">
        <v>806</v>
      </c>
      <c r="N294" s="15"/>
    </row>
    <row r="295" spans="1:14" x14ac:dyDescent="0.35">
      <c r="A295" s="12" t="s">
        <v>332</v>
      </c>
      <c r="B295" s="12" t="s">
        <v>314</v>
      </c>
      <c r="C295" s="4">
        <v>-20.297491000000001</v>
      </c>
      <c r="D295" s="4">
        <v>44.269697999999998</v>
      </c>
      <c r="E295" s="8">
        <v>1948</v>
      </c>
      <c r="F295" s="8">
        <v>1955</v>
      </c>
      <c r="G295" s="9">
        <f t="shared" si="10"/>
        <v>6</v>
      </c>
      <c r="H295" s="16">
        <v>19501953</v>
      </c>
      <c r="I295" s="9">
        <v>2</v>
      </c>
      <c r="J295" s="8" t="s">
        <v>798</v>
      </c>
      <c r="K295" s="11" t="s">
        <v>806</v>
      </c>
      <c r="N295" s="15"/>
    </row>
    <row r="296" spans="1:14" x14ac:dyDescent="0.35">
      <c r="A296" s="12" t="s">
        <v>333</v>
      </c>
      <c r="B296" s="12" t="s">
        <v>314</v>
      </c>
      <c r="C296" s="4">
        <v>-15.764120999999999</v>
      </c>
      <c r="D296" s="4">
        <v>49.993343000000003</v>
      </c>
      <c r="E296" s="8">
        <v>1960</v>
      </c>
      <c r="F296" s="8">
        <v>1962</v>
      </c>
      <c r="G296" s="9">
        <f t="shared" si="10"/>
        <v>3</v>
      </c>
      <c r="H296" s="8" t="s">
        <v>31</v>
      </c>
      <c r="I296" s="9">
        <v>0</v>
      </c>
      <c r="J296" s="8" t="s">
        <v>798</v>
      </c>
      <c r="K296" s="11" t="s">
        <v>806</v>
      </c>
      <c r="N296" s="15"/>
    </row>
    <row r="297" spans="1:14" x14ac:dyDescent="0.35">
      <c r="A297" s="12" t="s">
        <v>334</v>
      </c>
      <c r="B297" s="12" t="s">
        <v>314</v>
      </c>
      <c r="C297" s="4">
        <v>-12.245900000000001</v>
      </c>
      <c r="D297" s="4">
        <v>49.136161000000001</v>
      </c>
      <c r="E297" s="8">
        <v>1907</v>
      </c>
      <c r="F297" s="8">
        <v>1907</v>
      </c>
      <c r="G297" s="9">
        <f t="shared" si="10"/>
        <v>1</v>
      </c>
      <c r="H297" s="8" t="s">
        <v>31</v>
      </c>
      <c r="I297" s="9">
        <v>0</v>
      </c>
      <c r="J297" s="8" t="s">
        <v>799</v>
      </c>
      <c r="K297" s="11" t="s">
        <v>806</v>
      </c>
      <c r="N297" s="15"/>
    </row>
    <row r="298" spans="1:14" x14ac:dyDescent="0.35">
      <c r="A298" s="12" t="s">
        <v>335</v>
      </c>
      <c r="B298" s="12" t="s">
        <v>314</v>
      </c>
      <c r="C298" s="4">
        <v>-17.676234000000001</v>
      </c>
      <c r="D298" s="4">
        <v>49.517797999999999</v>
      </c>
      <c r="E298" s="8">
        <v>1948</v>
      </c>
      <c r="F298" s="8">
        <v>1949</v>
      </c>
      <c r="G298" s="9">
        <f t="shared" si="10"/>
        <v>2</v>
      </c>
      <c r="H298" s="8" t="s">
        <v>31</v>
      </c>
      <c r="I298" s="9">
        <v>0</v>
      </c>
      <c r="J298" s="8" t="s">
        <v>798</v>
      </c>
      <c r="K298" s="11" t="s">
        <v>806</v>
      </c>
      <c r="N298" s="15"/>
    </row>
    <row r="299" spans="1:14" x14ac:dyDescent="0.35">
      <c r="A299" s="12" t="s">
        <v>336</v>
      </c>
      <c r="B299" s="12" t="s">
        <v>314</v>
      </c>
      <c r="C299" s="4">
        <v>-17.382643000000002</v>
      </c>
      <c r="D299" s="4">
        <v>49.418374</v>
      </c>
      <c r="E299" s="8">
        <v>1951</v>
      </c>
      <c r="F299" s="8">
        <v>1952</v>
      </c>
      <c r="G299" s="9">
        <f t="shared" si="10"/>
        <v>2</v>
      </c>
      <c r="H299" s="8" t="s">
        <v>31</v>
      </c>
      <c r="I299" s="9">
        <v>0</v>
      </c>
      <c r="J299" s="8" t="s">
        <v>798</v>
      </c>
      <c r="K299" s="11" t="s">
        <v>806</v>
      </c>
      <c r="N299" s="15"/>
    </row>
    <row r="300" spans="1:14" x14ac:dyDescent="0.35">
      <c r="A300" s="8" t="s">
        <v>538</v>
      </c>
      <c r="B300" s="8" t="s">
        <v>539</v>
      </c>
      <c r="C300" s="9">
        <v>35.902075000000004</v>
      </c>
      <c r="D300" s="9">
        <v>14.519981</v>
      </c>
      <c r="E300" s="8">
        <v>1870</v>
      </c>
      <c r="F300" s="8">
        <v>1926</v>
      </c>
      <c r="G300" s="9">
        <f t="shared" si="10"/>
        <v>26</v>
      </c>
      <c r="H300" s="8" t="s">
        <v>540</v>
      </c>
      <c r="I300" s="9">
        <v>31</v>
      </c>
      <c r="J300" s="8" t="s">
        <v>770</v>
      </c>
      <c r="K300" s="11" t="s">
        <v>807</v>
      </c>
      <c r="N300" s="15"/>
    </row>
    <row r="301" spans="1:14" x14ac:dyDescent="0.35">
      <c r="A301" s="8" t="s">
        <v>770</v>
      </c>
      <c r="B301" s="12" t="s">
        <v>445</v>
      </c>
      <c r="C301" s="4">
        <v>14.611373</v>
      </c>
      <c r="D301" s="4">
        <v>-60.962077999999998</v>
      </c>
      <c r="E301" s="8">
        <v>1824</v>
      </c>
      <c r="F301" s="8">
        <v>1825</v>
      </c>
      <c r="G301" s="9">
        <f t="shared" si="10"/>
        <v>2</v>
      </c>
      <c r="H301" s="8" t="s">
        <v>31</v>
      </c>
      <c r="I301" s="9">
        <v>0</v>
      </c>
      <c r="J301" s="8" t="s">
        <v>798</v>
      </c>
      <c r="K301" s="11" t="s">
        <v>806</v>
      </c>
      <c r="N301" s="15"/>
    </row>
    <row r="302" spans="1:14" x14ac:dyDescent="0.35">
      <c r="A302" s="12" t="s">
        <v>446</v>
      </c>
      <c r="B302" s="12" t="s">
        <v>445</v>
      </c>
      <c r="C302" s="4">
        <v>14.600289</v>
      </c>
      <c r="D302" s="4">
        <v>-61.065286999999998</v>
      </c>
      <c r="E302" s="8">
        <v>1912</v>
      </c>
      <c r="F302" s="8">
        <v>1939</v>
      </c>
      <c r="G302" s="9">
        <f t="shared" si="10"/>
        <v>3</v>
      </c>
      <c r="H302" s="8" t="s">
        <v>447</v>
      </c>
      <c r="I302" s="9">
        <v>25</v>
      </c>
      <c r="J302" s="8" t="s">
        <v>799</v>
      </c>
      <c r="K302" s="11" t="s">
        <v>806</v>
      </c>
      <c r="N302" s="15"/>
    </row>
    <row r="303" spans="1:14" x14ac:dyDescent="0.35">
      <c r="A303" s="12" t="s">
        <v>446</v>
      </c>
      <c r="B303" s="12" t="s">
        <v>445</v>
      </c>
      <c r="C303" s="4">
        <v>14.600289</v>
      </c>
      <c r="D303" s="4">
        <v>-61.065286999999998</v>
      </c>
      <c r="E303" s="8">
        <v>1938</v>
      </c>
      <c r="F303" s="8">
        <v>1939</v>
      </c>
      <c r="G303" s="9">
        <f t="shared" si="10"/>
        <v>2</v>
      </c>
      <c r="H303" s="8" t="s">
        <v>31</v>
      </c>
      <c r="I303" s="9">
        <v>0</v>
      </c>
      <c r="J303" s="8" t="s">
        <v>798</v>
      </c>
      <c r="K303" s="11" t="s">
        <v>806</v>
      </c>
      <c r="N303" s="15"/>
    </row>
    <row r="304" spans="1:14" x14ac:dyDescent="0.35">
      <c r="A304" s="12" t="s">
        <v>448</v>
      </c>
      <c r="B304" s="12" t="s">
        <v>445</v>
      </c>
      <c r="C304" s="4">
        <v>14.741731</v>
      </c>
      <c r="D304" s="4">
        <v>-61.177138999999997</v>
      </c>
      <c r="E304" s="8">
        <v>1939</v>
      </c>
      <c r="F304" s="8">
        <v>1942</v>
      </c>
      <c r="G304" s="9">
        <f t="shared" si="10"/>
        <v>4</v>
      </c>
      <c r="H304" s="8" t="s">
        <v>31</v>
      </c>
      <c r="I304" s="9">
        <v>0</v>
      </c>
      <c r="J304" s="8" t="s">
        <v>798</v>
      </c>
      <c r="K304" s="11" t="s">
        <v>806</v>
      </c>
      <c r="N304" s="15"/>
    </row>
    <row r="305" spans="1:14" x14ac:dyDescent="0.35">
      <c r="A305" s="8" t="s">
        <v>242</v>
      </c>
      <c r="B305" s="12" t="s">
        <v>243</v>
      </c>
      <c r="C305" s="4">
        <v>20.909174</v>
      </c>
      <c r="D305" s="4">
        <v>-17.04365</v>
      </c>
      <c r="E305" s="8">
        <v>1905</v>
      </c>
      <c r="F305" s="8">
        <v>1906</v>
      </c>
      <c r="G305" s="9">
        <f t="shared" si="10"/>
        <v>2</v>
      </c>
      <c r="H305" s="8" t="s">
        <v>31</v>
      </c>
      <c r="I305" s="9">
        <v>0</v>
      </c>
      <c r="J305" s="8" t="s">
        <v>770</v>
      </c>
      <c r="K305" s="11" t="s">
        <v>806</v>
      </c>
      <c r="N305" s="15"/>
    </row>
    <row r="306" spans="1:14" x14ac:dyDescent="0.35">
      <c r="A306" s="8" t="s">
        <v>770</v>
      </c>
      <c r="B306" s="12" t="s">
        <v>243</v>
      </c>
      <c r="C306" s="4">
        <v>18.733347999999999</v>
      </c>
      <c r="D306" s="4">
        <v>-16.120179</v>
      </c>
      <c r="E306" s="8">
        <v>1954</v>
      </c>
      <c r="F306" s="8">
        <v>1965</v>
      </c>
      <c r="G306" s="9">
        <f t="shared" si="10"/>
        <v>6</v>
      </c>
      <c r="H306" s="8" t="s">
        <v>250</v>
      </c>
      <c r="I306" s="9">
        <v>6</v>
      </c>
      <c r="J306" s="8" t="s">
        <v>798</v>
      </c>
      <c r="K306" s="11" t="s">
        <v>806</v>
      </c>
      <c r="N306" s="15"/>
    </row>
    <row r="307" spans="1:14" x14ac:dyDescent="0.35">
      <c r="A307" s="8" t="s">
        <v>465</v>
      </c>
      <c r="B307" s="8" t="s">
        <v>466</v>
      </c>
      <c r="C307" s="9">
        <v>-10.342370000000001</v>
      </c>
      <c r="D307" s="9">
        <v>56.584940000000003</v>
      </c>
      <c r="E307" s="8">
        <v>1962</v>
      </c>
      <c r="F307" s="8">
        <v>1962</v>
      </c>
      <c r="G307" s="9">
        <f t="shared" si="10"/>
        <v>1</v>
      </c>
      <c r="H307" s="8" t="s">
        <v>31</v>
      </c>
      <c r="I307" s="9">
        <v>0</v>
      </c>
      <c r="J307" s="8" t="s">
        <v>770</v>
      </c>
      <c r="K307" s="11" t="s">
        <v>807</v>
      </c>
      <c r="N307" s="15"/>
    </row>
    <row r="308" spans="1:14" x14ac:dyDescent="0.35">
      <c r="A308" s="8" t="s">
        <v>770</v>
      </c>
      <c r="B308" s="12" t="s">
        <v>340</v>
      </c>
      <c r="C308" s="4">
        <v>-12.776218999999999</v>
      </c>
      <c r="D308" s="4">
        <v>45.233809999999998</v>
      </c>
      <c r="E308" s="8">
        <v>1900</v>
      </c>
      <c r="F308" s="8">
        <v>1900</v>
      </c>
      <c r="G308" s="9">
        <f t="shared" si="10"/>
        <v>1</v>
      </c>
      <c r="H308" s="8" t="s">
        <v>31</v>
      </c>
      <c r="I308" s="9">
        <v>0</v>
      </c>
      <c r="J308" s="8" t="s">
        <v>799</v>
      </c>
      <c r="K308" s="11" t="s">
        <v>806</v>
      </c>
      <c r="N308" s="15"/>
    </row>
    <row r="309" spans="1:14" x14ac:dyDescent="0.35">
      <c r="A309" s="8" t="s">
        <v>770</v>
      </c>
      <c r="B309" s="12" t="s">
        <v>340</v>
      </c>
      <c r="C309" s="4">
        <v>-12.776218999999999</v>
      </c>
      <c r="D309" s="4">
        <v>45.233809999999998</v>
      </c>
      <c r="E309" s="8">
        <v>1913</v>
      </c>
      <c r="F309" s="8">
        <v>1963</v>
      </c>
      <c r="G309" s="9">
        <f t="shared" si="10"/>
        <v>3</v>
      </c>
      <c r="H309" s="8" t="s">
        <v>341</v>
      </c>
      <c r="I309" s="9">
        <v>48</v>
      </c>
      <c r="J309" s="8" t="s">
        <v>798</v>
      </c>
      <c r="K309" s="11" t="s">
        <v>806</v>
      </c>
      <c r="N309" s="15"/>
    </row>
    <row r="310" spans="1:14" x14ac:dyDescent="0.35">
      <c r="A310" s="8" t="s">
        <v>748</v>
      </c>
      <c r="B310" s="8" t="s">
        <v>749</v>
      </c>
      <c r="C310" s="9">
        <v>22.880489000000001</v>
      </c>
      <c r="D310" s="9">
        <v>-109.908378</v>
      </c>
      <c r="E310" s="8">
        <v>1859</v>
      </c>
      <c r="F310" s="8">
        <v>1861</v>
      </c>
      <c r="G310" s="9">
        <f t="shared" si="10"/>
        <v>3</v>
      </c>
      <c r="H310" s="8" t="s">
        <v>31</v>
      </c>
      <c r="I310" s="9">
        <v>0</v>
      </c>
      <c r="J310" s="8" t="s">
        <v>798</v>
      </c>
      <c r="K310" s="11" t="s">
        <v>809</v>
      </c>
      <c r="N310" s="15"/>
    </row>
    <row r="311" spans="1:14" x14ac:dyDescent="0.35">
      <c r="A311" s="12" t="s">
        <v>770</v>
      </c>
      <c r="B311" s="12" t="s">
        <v>266</v>
      </c>
      <c r="C311" s="4">
        <v>27.819375000000001</v>
      </c>
      <c r="D311" s="4">
        <v>-12.956125</v>
      </c>
      <c r="E311" s="8">
        <v>1905</v>
      </c>
      <c r="F311" s="8">
        <v>1955</v>
      </c>
      <c r="G311" s="9">
        <f t="shared" si="10"/>
        <v>6</v>
      </c>
      <c r="H311" s="8" t="s">
        <v>267</v>
      </c>
      <c r="I311" s="9">
        <v>45</v>
      </c>
      <c r="J311" s="8" t="s">
        <v>798</v>
      </c>
      <c r="K311" s="11" t="s">
        <v>806</v>
      </c>
      <c r="N311" s="15"/>
    </row>
    <row r="312" spans="1:14" x14ac:dyDescent="0.35">
      <c r="A312" s="12" t="s">
        <v>268</v>
      </c>
      <c r="B312" s="12" t="s">
        <v>266</v>
      </c>
      <c r="C312" s="4">
        <v>34.031115999999997</v>
      </c>
      <c r="D312" s="4">
        <v>-6.8446470000000001</v>
      </c>
      <c r="E312" s="8">
        <v>1913</v>
      </c>
      <c r="F312" s="8">
        <v>1939</v>
      </c>
      <c r="G312" s="9">
        <f t="shared" si="10"/>
        <v>8</v>
      </c>
      <c r="H312" s="8" t="s">
        <v>269</v>
      </c>
      <c r="I312" s="9">
        <v>19</v>
      </c>
      <c r="J312" s="8" t="s">
        <v>770</v>
      </c>
      <c r="K312" s="11" t="s">
        <v>806</v>
      </c>
      <c r="N312" s="15"/>
    </row>
    <row r="313" spans="1:14" x14ac:dyDescent="0.35">
      <c r="A313" s="12" t="s">
        <v>270</v>
      </c>
      <c r="B313" s="12" t="s">
        <v>266</v>
      </c>
      <c r="C313" s="4">
        <v>34.266834000000003</v>
      </c>
      <c r="D313" s="4">
        <v>-6.6571930000000004</v>
      </c>
      <c r="E313" s="8">
        <v>1913</v>
      </c>
      <c r="F313" s="8">
        <v>1954</v>
      </c>
      <c r="G313" s="9">
        <f t="shared" si="10"/>
        <v>3</v>
      </c>
      <c r="H313" s="8" t="s">
        <v>271</v>
      </c>
      <c r="I313" s="9">
        <v>39</v>
      </c>
      <c r="J313" s="8" t="s">
        <v>798</v>
      </c>
      <c r="K313" s="11" t="s">
        <v>806</v>
      </c>
      <c r="N313" s="15"/>
    </row>
    <row r="314" spans="1:14" x14ac:dyDescent="0.35">
      <c r="A314" s="12" t="s">
        <v>270</v>
      </c>
      <c r="B314" s="12" t="s">
        <v>266</v>
      </c>
      <c r="C314" s="4">
        <v>34.266834000000003</v>
      </c>
      <c r="D314" s="4">
        <v>-6.6571930000000004</v>
      </c>
      <c r="E314" s="8">
        <v>1953</v>
      </c>
      <c r="F314" s="8">
        <v>1953</v>
      </c>
      <c r="G314" s="9">
        <f t="shared" si="10"/>
        <v>1</v>
      </c>
      <c r="H314" s="8" t="s">
        <v>31</v>
      </c>
      <c r="I314" s="9">
        <v>0</v>
      </c>
      <c r="J314" s="8" t="s">
        <v>799</v>
      </c>
      <c r="K314" s="11" t="s">
        <v>806</v>
      </c>
      <c r="N314" s="15"/>
    </row>
    <row r="315" spans="1:14" x14ac:dyDescent="0.35">
      <c r="A315" s="12" t="s">
        <v>272</v>
      </c>
      <c r="B315" s="12" t="s">
        <v>266</v>
      </c>
      <c r="C315" s="4">
        <v>33.706567</v>
      </c>
      <c r="D315" s="4">
        <v>-7.3327229999999997</v>
      </c>
      <c r="E315" s="8">
        <v>1954</v>
      </c>
      <c r="F315" s="8">
        <v>1954</v>
      </c>
      <c r="G315" s="9">
        <f t="shared" si="10"/>
        <v>1</v>
      </c>
      <c r="H315" s="8" t="s">
        <v>31</v>
      </c>
      <c r="I315" s="9">
        <v>0</v>
      </c>
      <c r="J315" s="8" t="s">
        <v>798</v>
      </c>
      <c r="K315" s="11" t="s">
        <v>806</v>
      </c>
      <c r="N315" s="15"/>
    </row>
    <row r="316" spans="1:14" x14ac:dyDescent="0.35">
      <c r="A316" s="12" t="s">
        <v>273</v>
      </c>
      <c r="B316" s="12" t="s">
        <v>266</v>
      </c>
      <c r="C316" s="4">
        <v>33.607081000000001</v>
      </c>
      <c r="D316" s="4">
        <v>-7.6340750000000002</v>
      </c>
      <c r="E316" s="8">
        <v>1920</v>
      </c>
      <c r="F316" s="8">
        <v>1954</v>
      </c>
      <c r="G316" s="9">
        <f t="shared" si="10"/>
        <v>4</v>
      </c>
      <c r="H316" s="8" t="s">
        <v>274</v>
      </c>
      <c r="I316" s="9">
        <v>31</v>
      </c>
      <c r="J316" s="8" t="s">
        <v>798</v>
      </c>
      <c r="K316" s="11" t="s">
        <v>806</v>
      </c>
      <c r="N316" s="15"/>
    </row>
    <row r="317" spans="1:14" x14ac:dyDescent="0.35">
      <c r="A317" s="12" t="s">
        <v>275</v>
      </c>
      <c r="B317" s="12" t="s">
        <v>266</v>
      </c>
      <c r="C317" s="4">
        <v>33.256704999999997</v>
      </c>
      <c r="D317" s="4">
        <v>-8.4955610000000004</v>
      </c>
      <c r="E317" s="8">
        <v>1952</v>
      </c>
      <c r="F317" s="8">
        <v>1952</v>
      </c>
      <c r="G317" s="9">
        <f t="shared" si="10"/>
        <v>1</v>
      </c>
      <c r="H317" s="8" t="s">
        <v>31</v>
      </c>
      <c r="I317" s="9">
        <v>0</v>
      </c>
      <c r="J317" s="8" t="s">
        <v>798</v>
      </c>
      <c r="K317" s="11" t="s">
        <v>806</v>
      </c>
      <c r="N317" s="15"/>
    </row>
    <row r="318" spans="1:14" x14ac:dyDescent="0.35">
      <c r="A318" s="12" t="s">
        <v>276</v>
      </c>
      <c r="B318" s="12" t="s">
        <v>266</v>
      </c>
      <c r="C318" s="4">
        <v>32.313378999999998</v>
      </c>
      <c r="D318" s="4">
        <v>-9.2564499999999992</v>
      </c>
      <c r="E318" s="8">
        <v>1950</v>
      </c>
      <c r="F318" s="8">
        <v>1954</v>
      </c>
      <c r="G318" s="9">
        <f t="shared" si="10"/>
        <v>2</v>
      </c>
      <c r="H318" s="8" t="s">
        <v>277</v>
      </c>
      <c r="I318" s="9">
        <v>3</v>
      </c>
      <c r="J318" s="8" t="s">
        <v>798</v>
      </c>
      <c r="K318" s="11" t="s">
        <v>806</v>
      </c>
      <c r="N318" s="15"/>
    </row>
    <row r="319" spans="1:14" x14ac:dyDescent="0.35">
      <c r="A319" s="12" t="s">
        <v>278</v>
      </c>
      <c r="B319" s="12" t="s">
        <v>266</v>
      </c>
      <c r="C319" s="4">
        <v>31.508461</v>
      </c>
      <c r="D319" s="4">
        <v>-9.7740299999999998</v>
      </c>
      <c r="E319" s="8">
        <v>1920</v>
      </c>
      <c r="F319" s="8">
        <v>1920</v>
      </c>
      <c r="G319" s="9">
        <f t="shared" si="10"/>
        <v>1</v>
      </c>
      <c r="H319" s="8" t="s">
        <v>31</v>
      </c>
      <c r="I319" s="9">
        <v>0</v>
      </c>
      <c r="J319" s="8" t="s">
        <v>798</v>
      </c>
      <c r="K319" s="11" t="s">
        <v>806</v>
      </c>
      <c r="N319" s="15"/>
    </row>
    <row r="320" spans="1:14" x14ac:dyDescent="0.35">
      <c r="A320" s="12" t="s">
        <v>279</v>
      </c>
      <c r="B320" s="12" t="s">
        <v>266</v>
      </c>
      <c r="C320" s="4">
        <v>30.419149999999998</v>
      </c>
      <c r="D320" s="4">
        <v>-9.6174859999999995</v>
      </c>
      <c r="E320" s="8">
        <v>1920</v>
      </c>
      <c r="F320" s="8">
        <v>1956</v>
      </c>
      <c r="G320" s="9">
        <f t="shared" si="10"/>
        <v>6</v>
      </c>
      <c r="H320" s="8" t="s">
        <v>280</v>
      </c>
      <c r="I320" s="9">
        <v>31</v>
      </c>
      <c r="J320" s="8" t="s">
        <v>798</v>
      </c>
      <c r="K320" s="11" t="s">
        <v>806</v>
      </c>
      <c r="N320" s="15"/>
    </row>
    <row r="321" spans="1:14" x14ac:dyDescent="0.35">
      <c r="A321" s="12" t="s">
        <v>279</v>
      </c>
      <c r="B321" s="12" t="s">
        <v>266</v>
      </c>
      <c r="C321" s="4">
        <v>30.419149999999998</v>
      </c>
      <c r="D321" s="4">
        <v>-9.6174859999999995</v>
      </c>
      <c r="E321" s="8">
        <v>1942</v>
      </c>
      <c r="F321" s="8">
        <v>1942</v>
      </c>
      <c r="G321" s="9">
        <f t="shared" si="10"/>
        <v>1</v>
      </c>
      <c r="H321" s="8" t="s">
        <v>31</v>
      </c>
      <c r="I321" s="9">
        <v>0</v>
      </c>
      <c r="J321" s="8" t="s">
        <v>770</v>
      </c>
      <c r="K321" s="11" t="s">
        <v>806</v>
      </c>
      <c r="N321" s="15"/>
    </row>
    <row r="322" spans="1:14" x14ac:dyDescent="0.35">
      <c r="A322" s="8" t="s">
        <v>768</v>
      </c>
      <c r="B322" s="8" t="s">
        <v>769</v>
      </c>
      <c r="C322" s="4">
        <v>-22.954810999999999</v>
      </c>
      <c r="D322" s="4">
        <v>14.486065</v>
      </c>
      <c r="E322" s="8">
        <v>1932</v>
      </c>
      <c r="F322" s="8">
        <v>1957</v>
      </c>
      <c r="G322" s="9">
        <f t="shared" si="10"/>
        <v>26</v>
      </c>
      <c r="H322" s="8" t="s">
        <v>31</v>
      </c>
      <c r="I322" s="9">
        <v>0</v>
      </c>
      <c r="J322" s="8" t="s">
        <v>770</v>
      </c>
      <c r="K322" s="8" t="s">
        <v>802</v>
      </c>
      <c r="N322" s="15"/>
    </row>
    <row r="323" spans="1:14" x14ac:dyDescent="0.35">
      <c r="A323" s="8" t="s">
        <v>229</v>
      </c>
      <c r="B323" s="12" t="s">
        <v>230</v>
      </c>
      <c r="C323" s="4">
        <v>51.393830000000001</v>
      </c>
      <c r="D323" s="4">
        <v>3.706744</v>
      </c>
      <c r="E323" s="8">
        <v>1811</v>
      </c>
      <c r="F323" s="8">
        <v>1811</v>
      </c>
      <c r="G323" s="9">
        <f t="shared" si="10"/>
        <v>1</v>
      </c>
      <c r="H323" s="8" t="s">
        <v>31</v>
      </c>
      <c r="I323" s="9">
        <v>0</v>
      </c>
      <c r="J323" s="8" t="s">
        <v>798</v>
      </c>
      <c r="K323" s="11" t="s">
        <v>806</v>
      </c>
      <c r="N323" s="15"/>
    </row>
    <row r="324" spans="1:14" x14ac:dyDescent="0.35">
      <c r="A324" s="8" t="s">
        <v>231</v>
      </c>
      <c r="B324" s="12" t="s">
        <v>230</v>
      </c>
      <c r="C324" s="4">
        <v>51.443021999999999</v>
      </c>
      <c r="D324" s="4">
        <v>3.594382</v>
      </c>
      <c r="E324" s="8">
        <v>1799</v>
      </c>
      <c r="F324" s="8">
        <v>1808</v>
      </c>
      <c r="G324" s="9">
        <f t="shared" si="10"/>
        <v>5</v>
      </c>
      <c r="H324" s="8" t="s">
        <v>232</v>
      </c>
      <c r="I324" s="9">
        <v>5</v>
      </c>
      <c r="J324" s="8" t="s">
        <v>798</v>
      </c>
      <c r="K324" s="11" t="s">
        <v>806</v>
      </c>
      <c r="N324" s="15"/>
    </row>
    <row r="325" spans="1:14" x14ac:dyDescent="0.35">
      <c r="A325" s="12" t="s">
        <v>423</v>
      </c>
      <c r="B325" s="12" t="s">
        <v>424</v>
      </c>
      <c r="C325" s="4">
        <v>-20.483661999999999</v>
      </c>
      <c r="D325" s="4">
        <v>164.17596800000001</v>
      </c>
      <c r="E325" s="8">
        <v>1936</v>
      </c>
      <c r="F325" s="8">
        <v>1936</v>
      </c>
      <c r="G325" s="9">
        <f t="shared" si="10"/>
        <v>1</v>
      </c>
      <c r="H325" s="8" t="s">
        <v>31</v>
      </c>
      <c r="I325" s="9">
        <v>0</v>
      </c>
      <c r="J325" s="8" t="s">
        <v>798</v>
      </c>
      <c r="K325" s="11" t="s">
        <v>806</v>
      </c>
      <c r="N325" s="15"/>
    </row>
    <row r="326" spans="1:14" x14ac:dyDescent="0.35">
      <c r="A326" s="8" t="s">
        <v>770</v>
      </c>
      <c r="B326" s="12" t="s">
        <v>424</v>
      </c>
      <c r="C326" s="4">
        <v>-21.284682</v>
      </c>
      <c r="D326" s="4">
        <v>165.27121600000001</v>
      </c>
      <c r="E326" s="8">
        <v>1872</v>
      </c>
      <c r="F326" s="8">
        <v>1965</v>
      </c>
      <c r="G326" s="9">
        <f t="shared" si="10"/>
        <v>6</v>
      </c>
      <c r="H326" s="8" t="s">
        <v>425</v>
      </c>
      <c r="I326" s="9">
        <v>88</v>
      </c>
      <c r="J326" s="8" t="s">
        <v>798</v>
      </c>
      <c r="K326" s="11" t="s">
        <v>806</v>
      </c>
      <c r="N326" s="15"/>
    </row>
    <row r="327" spans="1:14" x14ac:dyDescent="0.35">
      <c r="A327" s="12" t="s">
        <v>426</v>
      </c>
      <c r="B327" s="12" t="s">
        <v>424</v>
      </c>
      <c r="C327" s="4">
        <v>-21.611584000000001</v>
      </c>
      <c r="D327" s="4">
        <v>166.215552</v>
      </c>
      <c r="E327" s="8">
        <v>1906</v>
      </c>
      <c r="F327" s="8">
        <v>1907</v>
      </c>
      <c r="G327" s="9">
        <f t="shared" si="10"/>
        <v>2</v>
      </c>
      <c r="H327" s="8" t="s">
        <v>31</v>
      </c>
      <c r="I327" s="9">
        <v>0</v>
      </c>
      <c r="J327" s="8" t="s">
        <v>799</v>
      </c>
      <c r="K327" s="11" t="s">
        <v>806</v>
      </c>
      <c r="N327" s="15"/>
    </row>
    <row r="328" spans="1:14" x14ac:dyDescent="0.35">
      <c r="A328" s="12" t="s">
        <v>427</v>
      </c>
      <c r="B328" s="12" t="s">
        <v>424</v>
      </c>
      <c r="C328" s="4">
        <v>-22.276325</v>
      </c>
      <c r="D328" s="4">
        <v>166.440698</v>
      </c>
      <c r="E328" s="8">
        <v>1930</v>
      </c>
      <c r="F328" s="8">
        <v>1937</v>
      </c>
      <c r="G328" s="9">
        <f t="shared" si="10"/>
        <v>8</v>
      </c>
      <c r="H328" s="8" t="s">
        <v>31</v>
      </c>
      <c r="I328" s="9">
        <v>0</v>
      </c>
      <c r="J328" s="8" t="s">
        <v>798</v>
      </c>
      <c r="K328" s="11" t="s">
        <v>806</v>
      </c>
      <c r="N328" s="15"/>
    </row>
    <row r="329" spans="1:14" x14ac:dyDescent="0.35">
      <c r="A329" s="12" t="s">
        <v>428</v>
      </c>
      <c r="B329" s="12" t="s">
        <v>424</v>
      </c>
      <c r="C329" s="4">
        <v>-22.287156</v>
      </c>
      <c r="D329" s="4">
        <v>167.01777999999999</v>
      </c>
      <c r="E329" s="8">
        <v>1938</v>
      </c>
      <c r="F329" s="8">
        <v>1938</v>
      </c>
      <c r="G329" s="9">
        <f t="shared" si="10"/>
        <v>1</v>
      </c>
      <c r="H329" s="8" t="s">
        <v>31</v>
      </c>
      <c r="I329" s="9">
        <v>0</v>
      </c>
      <c r="J329" s="8" t="s">
        <v>798</v>
      </c>
      <c r="K329" s="11" t="s">
        <v>806</v>
      </c>
      <c r="N329" s="15"/>
    </row>
    <row r="330" spans="1:14" x14ac:dyDescent="0.35">
      <c r="A330" s="12" t="s">
        <v>400</v>
      </c>
      <c r="B330" s="12" t="s">
        <v>401</v>
      </c>
      <c r="C330" s="4">
        <v>-43.803795999999998</v>
      </c>
      <c r="D330" s="4">
        <v>172.966612</v>
      </c>
      <c r="E330" s="8">
        <v>1844</v>
      </c>
      <c r="F330" s="8">
        <v>1844</v>
      </c>
      <c r="G330" s="9">
        <f t="shared" si="10"/>
        <v>1</v>
      </c>
      <c r="H330" s="8" t="s">
        <v>31</v>
      </c>
      <c r="I330" s="9">
        <v>0</v>
      </c>
      <c r="J330" s="8" t="s">
        <v>770</v>
      </c>
      <c r="K330" s="11" t="s">
        <v>806</v>
      </c>
      <c r="N330" s="15"/>
    </row>
    <row r="331" spans="1:14" x14ac:dyDescent="0.35">
      <c r="A331" s="12" t="s">
        <v>400</v>
      </c>
      <c r="B331" s="12" t="s">
        <v>401</v>
      </c>
      <c r="C331" s="4">
        <v>-43.803795999999998</v>
      </c>
      <c r="D331" s="4">
        <v>172.966612</v>
      </c>
      <c r="E331" s="8">
        <v>1843</v>
      </c>
      <c r="F331" s="8">
        <v>1844</v>
      </c>
      <c r="G331" s="9">
        <f t="shared" si="10"/>
        <v>2</v>
      </c>
      <c r="H331" s="8" t="s">
        <v>31</v>
      </c>
      <c r="I331" s="9">
        <v>0</v>
      </c>
      <c r="J331" s="8" t="s">
        <v>798</v>
      </c>
      <c r="K331" s="11" t="s">
        <v>806</v>
      </c>
      <c r="N331" s="15"/>
    </row>
    <row r="332" spans="1:14" x14ac:dyDescent="0.35">
      <c r="A332" s="8" t="s">
        <v>571</v>
      </c>
      <c r="B332" s="8" t="s">
        <v>401</v>
      </c>
      <c r="C332" s="4">
        <v>-41.28434</v>
      </c>
      <c r="D332" s="4">
        <v>174.77979999999999</v>
      </c>
      <c r="E332" s="8">
        <v>1887</v>
      </c>
      <c r="F332" s="8">
        <v>1890</v>
      </c>
      <c r="G332" s="9">
        <f t="shared" si="10"/>
        <v>4</v>
      </c>
      <c r="H332" s="8" t="s">
        <v>31</v>
      </c>
      <c r="I332" s="9">
        <v>0</v>
      </c>
      <c r="J332" s="8" t="s">
        <v>770</v>
      </c>
      <c r="K332" s="11" t="s">
        <v>807</v>
      </c>
      <c r="N332" s="15"/>
    </row>
    <row r="333" spans="1:14" x14ac:dyDescent="0.35">
      <c r="A333" s="8" t="s">
        <v>572</v>
      </c>
      <c r="B333" s="8" t="s">
        <v>401</v>
      </c>
      <c r="C333" s="9">
        <v>-43.609411999999999</v>
      </c>
      <c r="D333" s="9">
        <v>172.71793500000001</v>
      </c>
      <c r="E333" s="8">
        <v>1883</v>
      </c>
      <c r="F333" s="8">
        <v>1923</v>
      </c>
      <c r="G333" s="9">
        <f t="shared" si="10"/>
        <v>41</v>
      </c>
      <c r="H333" s="8" t="s">
        <v>31</v>
      </c>
      <c r="I333" s="9">
        <v>0</v>
      </c>
      <c r="J333" s="8" t="s">
        <v>770</v>
      </c>
      <c r="K333" s="11" t="s">
        <v>807</v>
      </c>
      <c r="N333" s="15"/>
    </row>
    <row r="334" spans="1:14" x14ac:dyDescent="0.35">
      <c r="A334" s="8" t="s">
        <v>573</v>
      </c>
      <c r="B334" s="8" t="s">
        <v>401</v>
      </c>
      <c r="C334" s="4">
        <v>-45.878680000000003</v>
      </c>
      <c r="D334" s="4">
        <v>170.51336000000001</v>
      </c>
      <c r="E334" s="8">
        <v>1883</v>
      </c>
      <c r="F334" s="8">
        <v>1899</v>
      </c>
      <c r="G334" s="9">
        <f t="shared" si="10"/>
        <v>17</v>
      </c>
      <c r="H334" s="8" t="s">
        <v>31</v>
      </c>
      <c r="I334" s="9">
        <v>0</v>
      </c>
      <c r="J334" s="8" t="s">
        <v>770</v>
      </c>
      <c r="K334" s="11" t="s">
        <v>807</v>
      </c>
      <c r="N334" s="15"/>
    </row>
    <row r="335" spans="1:14" x14ac:dyDescent="0.35">
      <c r="A335" s="8" t="s">
        <v>574</v>
      </c>
      <c r="B335" s="8" t="s">
        <v>401</v>
      </c>
      <c r="C335" s="9">
        <v>-41.746513</v>
      </c>
      <c r="D335" s="9">
        <v>171.596192</v>
      </c>
      <c r="E335" s="8">
        <v>1901</v>
      </c>
      <c r="F335" s="8">
        <v>1981</v>
      </c>
      <c r="G335" s="9">
        <f t="shared" si="10"/>
        <v>81</v>
      </c>
      <c r="H335" s="8" t="s">
        <v>31</v>
      </c>
      <c r="I335" s="9">
        <v>0</v>
      </c>
      <c r="J335" s="8" t="s">
        <v>770</v>
      </c>
      <c r="K335" s="11" t="s">
        <v>807</v>
      </c>
      <c r="N335" s="15"/>
    </row>
    <row r="336" spans="1:14" x14ac:dyDescent="0.35">
      <c r="A336" s="8" t="s">
        <v>571</v>
      </c>
      <c r="B336" s="8" t="s">
        <v>401</v>
      </c>
      <c r="C336" s="4">
        <v>-41.28434</v>
      </c>
      <c r="D336" s="4">
        <v>174.77979999999999</v>
      </c>
      <c r="E336" s="8">
        <v>1894</v>
      </c>
      <c r="F336" s="8">
        <v>1894</v>
      </c>
      <c r="G336" s="9">
        <f t="shared" si="10"/>
        <v>1</v>
      </c>
      <c r="H336" s="8" t="s">
        <v>31</v>
      </c>
      <c r="I336" s="9">
        <v>0</v>
      </c>
      <c r="J336" s="8" t="s">
        <v>770</v>
      </c>
      <c r="K336" s="11" t="s">
        <v>807</v>
      </c>
      <c r="N336" s="15"/>
    </row>
    <row r="337" spans="1:14" x14ac:dyDescent="0.35">
      <c r="A337" s="8" t="s">
        <v>572</v>
      </c>
      <c r="B337" s="8" t="s">
        <v>401</v>
      </c>
      <c r="C337" s="4">
        <v>-43.605629999999998</v>
      </c>
      <c r="D337" s="4">
        <v>172.72193999999999</v>
      </c>
      <c r="E337" s="8">
        <v>1886</v>
      </c>
      <c r="F337" s="8">
        <v>1900</v>
      </c>
      <c r="G337" s="9">
        <f t="shared" si="10"/>
        <v>15</v>
      </c>
      <c r="H337" s="8" t="s">
        <v>31</v>
      </c>
      <c r="I337" s="9">
        <v>0</v>
      </c>
      <c r="J337" s="8" t="s">
        <v>770</v>
      </c>
      <c r="K337" s="11" t="s">
        <v>807</v>
      </c>
      <c r="N337" s="15"/>
    </row>
    <row r="338" spans="1:14" x14ac:dyDescent="0.35">
      <c r="A338" s="8" t="s">
        <v>573</v>
      </c>
      <c r="B338" s="8" t="s">
        <v>401</v>
      </c>
      <c r="C338" s="4">
        <v>-45.878680000000003</v>
      </c>
      <c r="D338" s="4">
        <v>170.51336000000001</v>
      </c>
      <c r="E338" s="8">
        <v>1898</v>
      </c>
      <c r="F338" s="8">
        <v>1898</v>
      </c>
      <c r="G338" s="9">
        <f t="shared" si="10"/>
        <v>1</v>
      </c>
      <c r="H338" s="8" t="s">
        <v>31</v>
      </c>
      <c r="I338" s="9">
        <v>0</v>
      </c>
      <c r="J338" s="8" t="s">
        <v>770</v>
      </c>
      <c r="K338" s="11" t="s">
        <v>807</v>
      </c>
      <c r="N338" s="15"/>
    </row>
    <row r="339" spans="1:14" x14ac:dyDescent="0.35">
      <c r="A339" s="8" t="s">
        <v>477</v>
      </c>
      <c r="B339" s="8" t="s">
        <v>478</v>
      </c>
      <c r="C339" s="9">
        <v>4.4219160000000004</v>
      </c>
      <c r="D339" s="9">
        <v>7.1446820000000004</v>
      </c>
      <c r="E339" s="8">
        <v>1963</v>
      </c>
      <c r="F339" s="8">
        <v>1967</v>
      </c>
      <c r="G339" s="9">
        <f t="shared" si="10"/>
        <v>5</v>
      </c>
      <c r="H339" s="8" t="s">
        <v>31</v>
      </c>
      <c r="I339" s="9">
        <v>0</v>
      </c>
      <c r="J339" s="8" t="s">
        <v>770</v>
      </c>
      <c r="K339" s="11" t="s">
        <v>807</v>
      </c>
      <c r="N339" s="15"/>
    </row>
    <row r="340" spans="1:14" x14ac:dyDescent="0.35">
      <c r="A340" s="8" t="s">
        <v>481</v>
      </c>
      <c r="B340" s="8" t="s">
        <v>478</v>
      </c>
      <c r="C340" s="9">
        <v>4.9708490000000003</v>
      </c>
      <c r="D340" s="9">
        <v>8.3212670000000006</v>
      </c>
      <c r="E340" s="8">
        <v>1961</v>
      </c>
      <c r="F340" s="8">
        <v>1970</v>
      </c>
      <c r="G340" s="9">
        <f t="shared" si="10"/>
        <v>10</v>
      </c>
      <c r="H340" s="8" t="s">
        <v>31</v>
      </c>
      <c r="I340" s="9">
        <v>0</v>
      </c>
      <c r="J340" s="8" t="s">
        <v>770</v>
      </c>
      <c r="K340" s="11" t="s">
        <v>807</v>
      </c>
      <c r="N340" s="15"/>
    </row>
    <row r="341" spans="1:14" x14ac:dyDescent="0.35">
      <c r="A341" s="8" t="s">
        <v>500</v>
      </c>
      <c r="B341" s="8" t="s">
        <v>478</v>
      </c>
      <c r="C341" s="9">
        <v>6.4082569999999999</v>
      </c>
      <c r="D341" s="9">
        <v>3.3973650000000002</v>
      </c>
      <c r="E341" s="8">
        <v>1940</v>
      </c>
      <c r="F341" s="8">
        <v>1970</v>
      </c>
      <c r="G341" s="9">
        <f t="shared" si="10"/>
        <v>17</v>
      </c>
      <c r="H341" s="8" t="s">
        <v>501</v>
      </c>
      <c r="I341" s="9">
        <v>14</v>
      </c>
      <c r="J341" s="8" t="s">
        <v>770</v>
      </c>
      <c r="K341" s="11" t="s">
        <v>807</v>
      </c>
      <c r="N341" s="15"/>
    </row>
    <row r="342" spans="1:14" x14ac:dyDescent="0.35">
      <c r="A342" s="8" t="s">
        <v>513</v>
      </c>
      <c r="B342" s="8" t="s">
        <v>478</v>
      </c>
      <c r="C342" s="9">
        <v>5.5544880000000001</v>
      </c>
      <c r="D342" s="9">
        <v>5.1862570000000003</v>
      </c>
      <c r="E342" s="8">
        <v>1961</v>
      </c>
      <c r="F342" s="8">
        <v>1962</v>
      </c>
      <c r="G342" s="9">
        <f t="shared" si="10"/>
        <v>2</v>
      </c>
      <c r="H342" s="8" t="s">
        <v>31</v>
      </c>
      <c r="I342" s="9">
        <v>0</v>
      </c>
      <c r="J342" s="8" t="s">
        <v>770</v>
      </c>
      <c r="K342" s="11" t="s">
        <v>807</v>
      </c>
      <c r="N342" s="15"/>
    </row>
    <row r="343" spans="1:14" x14ac:dyDescent="0.35">
      <c r="A343" s="8" t="s">
        <v>515</v>
      </c>
      <c r="B343" s="8" t="s">
        <v>478</v>
      </c>
      <c r="C343" s="9">
        <v>4.7744419999999996</v>
      </c>
      <c r="D343" s="9">
        <v>7.0022460000000004</v>
      </c>
      <c r="E343" s="8">
        <v>1963</v>
      </c>
      <c r="F343" s="8">
        <v>1967</v>
      </c>
      <c r="G343" s="9">
        <f t="shared" si="10"/>
        <v>5</v>
      </c>
      <c r="H343" s="8" t="s">
        <v>31</v>
      </c>
      <c r="I343" s="9">
        <v>0</v>
      </c>
      <c r="J343" s="8" t="s">
        <v>770</v>
      </c>
      <c r="K343" s="11" t="s">
        <v>807</v>
      </c>
      <c r="N343" s="15"/>
    </row>
    <row r="344" spans="1:14" x14ac:dyDescent="0.35">
      <c r="A344" s="8" t="s">
        <v>528</v>
      </c>
      <c r="B344" s="8" t="s">
        <v>478</v>
      </c>
      <c r="C344" s="9">
        <v>5.9230799999999997</v>
      </c>
      <c r="D344" s="9">
        <v>5.6498119999999998</v>
      </c>
      <c r="E344" s="8">
        <v>1962</v>
      </c>
      <c r="F344" s="8">
        <v>1969</v>
      </c>
      <c r="G344" s="9">
        <f t="shared" si="10"/>
        <v>8</v>
      </c>
      <c r="H344" s="8" t="s">
        <v>31</v>
      </c>
      <c r="I344" s="9">
        <v>0</v>
      </c>
      <c r="J344" s="8" t="s">
        <v>770</v>
      </c>
      <c r="K344" s="11" t="s">
        <v>807</v>
      </c>
      <c r="N344" s="15"/>
    </row>
    <row r="345" spans="1:14" x14ac:dyDescent="0.35">
      <c r="A345" s="8" t="s">
        <v>541</v>
      </c>
      <c r="B345" s="8" t="s">
        <v>478</v>
      </c>
      <c r="C345" s="9">
        <v>5.5154690000000004</v>
      </c>
      <c r="D345" s="9">
        <v>5.7234550000000004</v>
      </c>
      <c r="E345" s="8">
        <v>1915</v>
      </c>
      <c r="F345" s="8">
        <v>1926</v>
      </c>
      <c r="G345" s="9">
        <f t="shared" ref="G345:G408" si="11">(1+(F345-E345))-I345</f>
        <v>12</v>
      </c>
      <c r="H345" s="8" t="s">
        <v>31</v>
      </c>
      <c r="I345" s="9">
        <v>0</v>
      </c>
      <c r="J345" s="8" t="s">
        <v>770</v>
      </c>
      <c r="K345" s="11" t="s">
        <v>807</v>
      </c>
      <c r="N345" s="15"/>
    </row>
    <row r="346" spans="1:14" x14ac:dyDescent="0.35">
      <c r="A346" s="12" t="s">
        <v>236</v>
      </c>
      <c r="B346" s="12" t="s">
        <v>237</v>
      </c>
      <c r="C346" s="4">
        <v>78.302466999999993</v>
      </c>
      <c r="D346" s="4">
        <v>13.878593</v>
      </c>
      <c r="E346" s="8">
        <v>1892</v>
      </c>
      <c r="F346" s="8">
        <v>1892</v>
      </c>
      <c r="G346" s="9">
        <f t="shared" si="11"/>
        <v>1</v>
      </c>
      <c r="H346" s="8" t="s">
        <v>31</v>
      </c>
      <c r="I346" s="9">
        <v>0</v>
      </c>
      <c r="J346" s="8" t="s">
        <v>798</v>
      </c>
      <c r="K346" s="11" t="s">
        <v>806</v>
      </c>
      <c r="N346" s="15"/>
    </row>
    <row r="347" spans="1:14" x14ac:dyDescent="0.35">
      <c r="A347" s="18" t="s">
        <v>434</v>
      </c>
      <c r="B347" s="12" t="s">
        <v>435</v>
      </c>
      <c r="C347" s="4">
        <v>9.3637309999999996</v>
      </c>
      <c r="D347" s="4">
        <v>-79.894451000000004</v>
      </c>
      <c r="E347" s="8">
        <v>1882</v>
      </c>
      <c r="F347" s="8">
        <v>1882</v>
      </c>
      <c r="G347" s="9">
        <f t="shared" si="11"/>
        <v>1</v>
      </c>
      <c r="H347" s="8" t="s">
        <v>31</v>
      </c>
      <c r="I347" s="9">
        <v>0</v>
      </c>
      <c r="J347" s="8" t="s">
        <v>770</v>
      </c>
      <c r="K347" s="11" t="s">
        <v>806</v>
      </c>
      <c r="N347" s="15"/>
    </row>
    <row r="348" spans="1:14" x14ac:dyDescent="0.35">
      <c r="A348" s="12" t="s">
        <v>436</v>
      </c>
      <c r="B348" s="12" t="s">
        <v>435</v>
      </c>
      <c r="C348" s="4">
        <v>8.9132619999999996</v>
      </c>
      <c r="D348" s="4">
        <v>-79.528347999999994</v>
      </c>
      <c r="E348" s="8">
        <v>1882</v>
      </c>
      <c r="F348" s="8">
        <v>1882</v>
      </c>
      <c r="G348" s="9">
        <f t="shared" si="11"/>
        <v>1</v>
      </c>
      <c r="H348" s="8" t="s">
        <v>31</v>
      </c>
      <c r="I348" s="9">
        <v>0</v>
      </c>
      <c r="J348" s="8" t="s">
        <v>770</v>
      </c>
      <c r="K348" s="11" t="s">
        <v>806</v>
      </c>
      <c r="N348" s="15"/>
    </row>
    <row r="349" spans="1:14" x14ac:dyDescent="0.35">
      <c r="A349" s="8" t="s">
        <v>621</v>
      </c>
      <c r="B349" s="12" t="s">
        <v>435</v>
      </c>
      <c r="C349" s="4">
        <v>8.9132619999999996</v>
      </c>
      <c r="D349" s="4">
        <v>-79.528347999999994</v>
      </c>
      <c r="E349" s="8">
        <v>1881</v>
      </c>
      <c r="F349" s="8">
        <v>1888</v>
      </c>
      <c r="G349" s="9">
        <f t="shared" si="11"/>
        <v>8</v>
      </c>
      <c r="H349" s="8" t="s">
        <v>31</v>
      </c>
      <c r="I349" s="9">
        <v>0</v>
      </c>
      <c r="J349" s="8" t="s">
        <v>799</v>
      </c>
      <c r="K349" s="11" t="s">
        <v>807</v>
      </c>
      <c r="N349" s="15"/>
    </row>
    <row r="350" spans="1:14" x14ac:dyDescent="0.35">
      <c r="A350" s="8" t="s">
        <v>567</v>
      </c>
      <c r="B350" s="8" t="s">
        <v>568</v>
      </c>
      <c r="C350" s="9">
        <v>10.300007000000001</v>
      </c>
      <c r="D350" s="9">
        <v>123.91548899999999</v>
      </c>
      <c r="E350" s="8">
        <v>1935</v>
      </c>
      <c r="F350" s="8">
        <v>1938</v>
      </c>
      <c r="G350" s="9">
        <f t="shared" si="11"/>
        <v>4</v>
      </c>
      <c r="H350" s="8" t="s">
        <v>31</v>
      </c>
      <c r="I350" s="9">
        <v>0</v>
      </c>
      <c r="J350" s="8" t="s">
        <v>770</v>
      </c>
      <c r="K350" s="11" t="s">
        <v>807</v>
      </c>
      <c r="N350" s="15"/>
    </row>
    <row r="351" spans="1:14" x14ac:dyDescent="0.35">
      <c r="A351" s="8" t="s">
        <v>770</v>
      </c>
      <c r="B351" s="17" t="s">
        <v>404</v>
      </c>
      <c r="C351" s="4">
        <v>-17.584523000000001</v>
      </c>
      <c r="D351" s="4">
        <f>210.359095-360</f>
        <v>-149.640905</v>
      </c>
      <c r="E351" s="8">
        <v>1958</v>
      </c>
      <c r="F351" s="8">
        <v>1968</v>
      </c>
      <c r="G351" s="9">
        <f t="shared" si="11"/>
        <v>8</v>
      </c>
      <c r="H351" s="8" t="s">
        <v>405</v>
      </c>
      <c r="I351" s="9">
        <v>3</v>
      </c>
      <c r="J351" s="8" t="s">
        <v>798</v>
      </c>
      <c r="K351" s="11" t="s">
        <v>806</v>
      </c>
      <c r="N351" s="15"/>
    </row>
    <row r="352" spans="1:14" x14ac:dyDescent="0.35">
      <c r="A352" s="12" t="s">
        <v>406</v>
      </c>
      <c r="B352" s="12" t="s">
        <v>404</v>
      </c>
      <c r="C352" s="4">
        <v>-23.117782999999999</v>
      </c>
      <c r="D352" s="4">
        <v>-134.96876499999999</v>
      </c>
      <c r="E352" s="8">
        <v>1956</v>
      </c>
      <c r="F352" s="8">
        <v>1968</v>
      </c>
      <c r="G352" s="9">
        <f t="shared" si="11"/>
        <v>6</v>
      </c>
      <c r="H352" s="8" t="s">
        <v>407</v>
      </c>
      <c r="I352" s="9">
        <v>7</v>
      </c>
      <c r="J352" s="8" t="s">
        <v>798</v>
      </c>
      <c r="K352" s="11" t="s">
        <v>806</v>
      </c>
      <c r="N352" s="15"/>
    </row>
    <row r="353" spans="1:14" x14ac:dyDescent="0.35">
      <c r="A353" s="12" t="s">
        <v>408</v>
      </c>
      <c r="B353" s="12" t="s">
        <v>404</v>
      </c>
      <c r="C353" s="4">
        <v>-21.835666</v>
      </c>
      <c r="D353" s="4">
        <v>-138.90771799999999</v>
      </c>
      <c r="E353" s="8">
        <v>1962</v>
      </c>
      <c r="F353" s="8">
        <v>1968</v>
      </c>
      <c r="G353" s="9">
        <f t="shared" si="11"/>
        <v>4</v>
      </c>
      <c r="H353" s="8" t="s">
        <v>409</v>
      </c>
      <c r="I353" s="9">
        <v>3</v>
      </c>
      <c r="J353" s="8" t="s">
        <v>798</v>
      </c>
      <c r="K353" s="11" t="s">
        <v>806</v>
      </c>
      <c r="N353" s="15"/>
    </row>
    <row r="354" spans="1:14" x14ac:dyDescent="0.35">
      <c r="A354" s="12" t="s">
        <v>410</v>
      </c>
      <c r="B354" s="12" t="s">
        <v>404</v>
      </c>
      <c r="C354" s="4">
        <v>-9.8059829999999994</v>
      </c>
      <c r="D354" s="4">
        <v>-139.03146000000001</v>
      </c>
      <c r="E354" s="8">
        <v>1956</v>
      </c>
      <c r="F354" s="8">
        <v>1958</v>
      </c>
      <c r="G354" s="9">
        <f t="shared" si="11"/>
        <v>3</v>
      </c>
      <c r="H354" s="8" t="s">
        <v>31</v>
      </c>
      <c r="I354" s="9">
        <v>0</v>
      </c>
      <c r="J354" s="8" t="s">
        <v>798</v>
      </c>
      <c r="K354" s="11" t="s">
        <v>806</v>
      </c>
      <c r="N354" s="15"/>
    </row>
    <row r="355" spans="1:14" x14ac:dyDescent="0.35">
      <c r="A355" s="12" t="s">
        <v>411</v>
      </c>
      <c r="B355" s="12" t="s">
        <v>404</v>
      </c>
      <c r="C355" s="4">
        <v>-14.945561</v>
      </c>
      <c r="D355" s="4">
        <v>-147.70623900000001</v>
      </c>
      <c r="E355" s="8">
        <v>1949</v>
      </c>
      <c r="F355" s="8">
        <v>1968</v>
      </c>
      <c r="G355" s="9">
        <f t="shared" si="11"/>
        <v>10</v>
      </c>
      <c r="H355" s="8" t="s">
        <v>412</v>
      </c>
      <c r="I355" s="9">
        <v>10</v>
      </c>
      <c r="J355" s="8" t="s">
        <v>798</v>
      </c>
      <c r="K355" s="11" t="s">
        <v>806</v>
      </c>
      <c r="N355" s="15"/>
    </row>
    <row r="356" spans="1:14" x14ac:dyDescent="0.35">
      <c r="A356" s="12" t="s">
        <v>413</v>
      </c>
      <c r="B356" s="12" t="s">
        <v>404</v>
      </c>
      <c r="C356" s="4">
        <v>-17.730347999999999</v>
      </c>
      <c r="D356" s="4">
        <v>-149.31963400000001</v>
      </c>
      <c r="E356" s="8">
        <v>1936</v>
      </c>
      <c r="F356" s="8">
        <v>1968</v>
      </c>
      <c r="G356" s="9">
        <f t="shared" si="11"/>
        <v>7</v>
      </c>
      <c r="H356" s="8" t="s">
        <v>414</v>
      </c>
      <c r="I356" s="9">
        <v>26</v>
      </c>
      <c r="J356" s="8" t="s">
        <v>798</v>
      </c>
      <c r="K356" s="11" t="s">
        <v>806</v>
      </c>
      <c r="N356" s="15"/>
    </row>
    <row r="357" spans="1:14" x14ac:dyDescent="0.35">
      <c r="A357" s="12" t="s">
        <v>415</v>
      </c>
      <c r="B357" s="12" t="s">
        <v>404</v>
      </c>
      <c r="C357" s="4">
        <v>-17.535081999999999</v>
      </c>
      <c r="D357" s="4">
        <v>-149.569267</v>
      </c>
      <c r="E357" s="8">
        <v>1911</v>
      </c>
      <c r="F357" s="8">
        <v>1924</v>
      </c>
      <c r="G357" s="9">
        <f t="shared" si="11"/>
        <v>2</v>
      </c>
      <c r="H357" s="8" t="s">
        <v>416</v>
      </c>
      <c r="I357" s="9">
        <v>12</v>
      </c>
      <c r="J357" s="8" t="s">
        <v>799</v>
      </c>
      <c r="K357" s="11" t="s">
        <v>806</v>
      </c>
      <c r="N357" s="15"/>
    </row>
    <row r="358" spans="1:14" x14ac:dyDescent="0.35">
      <c r="A358" s="12" t="s">
        <v>417</v>
      </c>
      <c r="B358" s="12" t="s">
        <v>404</v>
      </c>
      <c r="C358" s="4">
        <v>-17.507771999999999</v>
      </c>
      <c r="D358" s="4">
        <v>-149.82211599999999</v>
      </c>
      <c r="E358" s="8">
        <v>1956</v>
      </c>
      <c r="F358" s="8">
        <v>1957</v>
      </c>
      <c r="G358" s="9">
        <f t="shared" si="11"/>
        <v>2</v>
      </c>
      <c r="H358" s="8" t="s">
        <v>31</v>
      </c>
      <c r="I358" s="9">
        <v>0</v>
      </c>
      <c r="J358" s="8" t="s">
        <v>798</v>
      </c>
      <c r="K358" s="11" t="s">
        <v>806</v>
      </c>
      <c r="N358" s="15"/>
    </row>
    <row r="359" spans="1:14" x14ac:dyDescent="0.35">
      <c r="A359" s="12" t="s">
        <v>418</v>
      </c>
      <c r="B359" s="12" t="s">
        <v>404</v>
      </c>
      <c r="C359" s="4">
        <v>-16.728531</v>
      </c>
      <c r="D359" s="4">
        <v>-151.47740300000001</v>
      </c>
      <c r="E359" s="8">
        <v>1956</v>
      </c>
      <c r="F359" s="8">
        <v>1969</v>
      </c>
      <c r="G359" s="9">
        <f t="shared" si="11"/>
        <v>3</v>
      </c>
      <c r="H359" s="8" t="s">
        <v>419</v>
      </c>
      <c r="I359" s="9">
        <v>11</v>
      </c>
      <c r="J359" s="8" t="s">
        <v>798</v>
      </c>
      <c r="K359" s="11" t="s">
        <v>806</v>
      </c>
      <c r="N359" s="15"/>
    </row>
    <row r="360" spans="1:14" x14ac:dyDescent="0.35">
      <c r="A360" s="12" t="s">
        <v>420</v>
      </c>
      <c r="B360" s="12" t="s">
        <v>404</v>
      </c>
      <c r="C360" s="4">
        <v>-16.637475999999999</v>
      </c>
      <c r="D360" s="4">
        <v>-151.49120099999999</v>
      </c>
      <c r="E360" s="8">
        <v>1956</v>
      </c>
      <c r="F360" s="8">
        <v>1957</v>
      </c>
      <c r="G360" s="9">
        <f t="shared" si="11"/>
        <v>2</v>
      </c>
      <c r="H360" s="8" t="s">
        <v>31</v>
      </c>
      <c r="I360" s="9">
        <v>0</v>
      </c>
      <c r="J360" s="8" t="s">
        <v>798</v>
      </c>
      <c r="K360" s="11" t="s">
        <v>806</v>
      </c>
      <c r="N360" s="15"/>
    </row>
    <row r="361" spans="1:14" x14ac:dyDescent="0.35">
      <c r="A361" s="12" t="s">
        <v>421</v>
      </c>
      <c r="B361" s="12" t="s">
        <v>404</v>
      </c>
      <c r="C361" s="4">
        <v>-16.506883999999999</v>
      </c>
      <c r="D361" s="4">
        <v>-151.752612</v>
      </c>
      <c r="E361" s="8">
        <v>1956</v>
      </c>
      <c r="F361" s="8">
        <v>1967</v>
      </c>
      <c r="G361" s="9">
        <f t="shared" si="11"/>
        <v>4</v>
      </c>
      <c r="H361" s="8" t="s">
        <v>422</v>
      </c>
      <c r="I361" s="9">
        <v>8</v>
      </c>
      <c r="J361" s="8" t="s">
        <v>798</v>
      </c>
      <c r="K361" s="11" t="s">
        <v>806</v>
      </c>
      <c r="N361" s="15"/>
    </row>
    <row r="362" spans="1:14" x14ac:dyDescent="0.35">
      <c r="A362" s="12" t="s">
        <v>429</v>
      </c>
      <c r="B362" s="12" t="s">
        <v>404</v>
      </c>
      <c r="C362" s="4">
        <v>-14.30904</v>
      </c>
      <c r="D362" s="4">
        <f>181.879924-360</f>
        <v>-178.12007600000001</v>
      </c>
      <c r="E362" s="8">
        <v>1936</v>
      </c>
      <c r="F362" s="8">
        <v>1936</v>
      </c>
      <c r="G362" s="9">
        <f t="shared" si="11"/>
        <v>1</v>
      </c>
      <c r="H362" s="8" t="s">
        <v>31</v>
      </c>
      <c r="I362" s="9">
        <v>0</v>
      </c>
      <c r="J362" s="8" t="s">
        <v>799</v>
      </c>
      <c r="K362" s="11" t="s">
        <v>806</v>
      </c>
      <c r="N362" s="15"/>
    </row>
    <row r="363" spans="1:14" x14ac:dyDescent="0.35">
      <c r="A363" s="8" t="s">
        <v>770</v>
      </c>
      <c r="B363" s="12" t="s">
        <v>311</v>
      </c>
      <c r="C363" s="4">
        <v>-4.3796280000000003</v>
      </c>
      <c r="D363" s="4">
        <v>11.649400999999999</v>
      </c>
      <c r="E363" s="8">
        <v>1960</v>
      </c>
      <c r="F363" s="8">
        <v>1960</v>
      </c>
      <c r="G363" s="9">
        <f t="shared" si="11"/>
        <v>1</v>
      </c>
      <c r="H363" s="8" t="s">
        <v>31</v>
      </c>
      <c r="I363" s="9">
        <v>0</v>
      </c>
      <c r="J363" s="8" t="s">
        <v>798</v>
      </c>
      <c r="K363" s="11" t="s">
        <v>806</v>
      </c>
      <c r="N363" s="15"/>
    </row>
    <row r="364" spans="1:14" x14ac:dyDescent="0.35">
      <c r="A364" s="12" t="s">
        <v>312</v>
      </c>
      <c r="B364" s="12" t="s">
        <v>311</v>
      </c>
      <c r="C364" s="4">
        <v>-4.7741189999999998</v>
      </c>
      <c r="D364" s="4">
        <v>11.825416000000001</v>
      </c>
      <c r="E364" s="8">
        <v>1911</v>
      </c>
      <c r="F364" s="8">
        <v>1918</v>
      </c>
      <c r="G364" s="9">
        <f t="shared" si="11"/>
        <v>2</v>
      </c>
      <c r="H364" s="8" t="s">
        <v>313</v>
      </c>
      <c r="I364" s="9">
        <v>6</v>
      </c>
      <c r="J364" s="8" t="s">
        <v>799</v>
      </c>
      <c r="K364" s="11" t="s">
        <v>806</v>
      </c>
      <c r="N364" s="15"/>
    </row>
    <row r="365" spans="1:14" x14ac:dyDescent="0.35">
      <c r="A365" s="12" t="s">
        <v>455</v>
      </c>
      <c r="B365" s="12" t="s">
        <v>456</v>
      </c>
      <c r="C365" s="4">
        <v>46.778972000000003</v>
      </c>
      <c r="D365" s="4">
        <v>-56.171242999999997</v>
      </c>
      <c r="E365" s="8">
        <v>1940</v>
      </c>
      <c r="F365" s="8">
        <v>1940</v>
      </c>
      <c r="G365" s="9">
        <f t="shared" si="11"/>
        <v>1</v>
      </c>
      <c r="H365" s="8" t="s">
        <v>31</v>
      </c>
      <c r="I365" s="9">
        <v>0</v>
      </c>
      <c r="J365" s="8" t="s">
        <v>798</v>
      </c>
      <c r="K365" s="11" t="s">
        <v>806</v>
      </c>
      <c r="N365" s="15"/>
    </row>
    <row r="366" spans="1:14" x14ac:dyDescent="0.35">
      <c r="A366" s="8" t="s">
        <v>770</v>
      </c>
      <c r="B366" s="12" t="s">
        <v>281</v>
      </c>
      <c r="C366" s="4">
        <v>15.602475999999999</v>
      </c>
      <c r="D366" s="4">
        <v>-16.651395000000001</v>
      </c>
      <c r="E366" s="8">
        <v>1958</v>
      </c>
      <c r="F366" s="8">
        <v>1965</v>
      </c>
      <c r="G366" s="9">
        <f t="shared" si="11"/>
        <v>5</v>
      </c>
      <c r="H366" s="8" t="s">
        <v>135</v>
      </c>
      <c r="I366" s="9">
        <v>3</v>
      </c>
      <c r="J366" s="8" t="s">
        <v>798</v>
      </c>
      <c r="K366" s="11" t="s">
        <v>806</v>
      </c>
    </row>
    <row r="367" spans="1:14" x14ac:dyDescent="0.35">
      <c r="A367" s="12" t="s">
        <v>282</v>
      </c>
      <c r="B367" s="12" t="s">
        <v>281</v>
      </c>
      <c r="C367" s="4">
        <v>12.584379999999999</v>
      </c>
      <c r="D367" s="4">
        <v>-15.884218000000001</v>
      </c>
      <c r="E367" s="8">
        <v>1963</v>
      </c>
      <c r="F367" s="8">
        <v>1964</v>
      </c>
      <c r="G367" s="9">
        <f t="shared" si="11"/>
        <v>2</v>
      </c>
      <c r="H367" s="8" t="s">
        <v>31</v>
      </c>
      <c r="I367" s="9">
        <v>0</v>
      </c>
      <c r="J367" s="8" t="s">
        <v>798</v>
      </c>
      <c r="K367" s="11" t="s">
        <v>806</v>
      </c>
    </row>
    <row r="368" spans="1:14" x14ac:dyDescent="0.35">
      <c r="A368" s="12" t="s">
        <v>283</v>
      </c>
      <c r="B368" s="12" t="s">
        <v>281</v>
      </c>
      <c r="C368" s="4">
        <v>14.415400999999999</v>
      </c>
      <c r="D368" s="4">
        <v>-16.983397</v>
      </c>
      <c r="E368" s="8">
        <v>1948</v>
      </c>
      <c r="F368" s="8">
        <v>1948</v>
      </c>
      <c r="G368" s="9">
        <f t="shared" si="11"/>
        <v>1</v>
      </c>
      <c r="H368" s="8" t="s">
        <v>31</v>
      </c>
      <c r="I368" s="9">
        <v>0</v>
      </c>
      <c r="J368" s="8" t="s">
        <v>798</v>
      </c>
      <c r="K368" s="11" t="s">
        <v>806</v>
      </c>
    </row>
    <row r="369" spans="1:11" x14ac:dyDescent="0.35">
      <c r="A369" s="12" t="s">
        <v>284</v>
      </c>
      <c r="B369" s="12" t="s">
        <v>281</v>
      </c>
      <c r="C369" s="4">
        <v>14.683431000000001</v>
      </c>
      <c r="D369" s="4">
        <v>-17.430738999999999</v>
      </c>
      <c r="E369" s="8">
        <v>1889</v>
      </c>
      <c r="F369" s="8">
        <v>1932</v>
      </c>
      <c r="G369" s="9">
        <f t="shared" si="11"/>
        <v>21</v>
      </c>
      <c r="H369" s="8" t="s">
        <v>285</v>
      </c>
      <c r="I369" s="9">
        <v>23</v>
      </c>
      <c r="J369" s="8" t="s">
        <v>799</v>
      </c>
      <c r="K369" s="11" t="s">
        <v>806</v>
      </c>
    </row>
    <row r="370" spans="1:11" x14ac:dyDescent="0.35">
      <c r="A370" s="12" t="s">
        <v>284</v>
      </c>
      <c r="B370" s="12" t="s">
        <v>281</v>
      </c>
      <c r="C370" s="4">
        <v>14.683431000000001</v>
      </c>
      <c r="D370" s="4">
        <v>-17.430738999999999</v>
      </c>
      <c r="E370" s="8">
        <v>1936</v>
      </c>
      <c r="F370" s="8">
        <v>1937</v>
      </c>
      <c r="G370" s="9">
        <f t="shared" si="11"/>
        <v>2</v>
      </c>
      <c r="H370" s="8" t="s">
        <v>31</v>
      </c>
      <c r="I370" s="9">
        <v>0</v>
      </c>
      <c r="J370" s="8" t="s">
        <v>798</v>
      </c>
      <c r="K370" s="11" t="s">
        <v>806</v>
      </c>
    </row>
    <row r="371" spans="1:11" x14ac:dyDescent="0.35">
      <c r="A371" s="12" t="s">
        <v>286</v>
      </c>
      <c r="B371" s="12" t="s">
        <v>281</v>
      </c>
      <c r="C371" s="4">
        <v>14.712631</v>
      </c>
      <c r="D371" s="4">
        <v>-17.279129999999999</v>
      </c>
      <c r="E371" s="8">
        <v>1930</v>
      </c>
      <c r="F371" s="8">
        <v>1931</v>
      </c>
      <c r="G371" s="9">
        <f t="shared" si="11"/>
        <v>2</v>
      </c>
      <c r="H371" s="8" t="s">
        <v>31</v>
      </c>
      <c r="I371" s="9">
        <v>0</v>
      </c>
      <c r="J371" s="8" t="s">
        <v>798</v>
      </c>
      <c r="K371" s="11" t="s">
        <v>806</v>
      </c>
    </row>
    <row r="372" spans="1:11" x14ac:dyDescent="0.35">
      <c r="A372" s="12" t="s">
        <v>287</v>
      </c>
      <c r="B372" s="12" t="s">
        <v>281</v>
      </c>
      <c r="C372" s="4">
        <v>14.130756999999999</v>
      </c>
      <c r="D372" s="4">
        <v>-16.080286999999998</v>
      </c>
      <c r="E372" s="8">
        <v>1930</v>
      </c>
      <c r="F372" s="8">
        <v>1931</v>
      </c>
      <c r="G372" s="9">
        <f t="shared" si="11"/>
        <v>2</v>
      </c>
      <c r="H372" s="8" t="s">
        <v>31</v>
      </c>
      <c r="I372" s="9">
        <v>0</v>
      </c>
      <c r="J372" s="8" t="s">
        <v>798</v>
      </c>
      <c r="K372" s="11" t="s">
        <v>806</v>
      </c>
    </row>
    <row r="373" spans="1:11" x14ac:dyDescent="0.35">
      <c r="A373" s="8" t="s">
        <v>516</v>
      </c>
      <c r="B373" s="8" t="s">
        <v>517</v>
      </c>
      <c r="C373" s="9">
        <v>-4.6201210000000001</v>
      </c>
      <c r="D373" s="9">
        <v>55.458776999999998</v>
      </c>
      <c r="E373" s="8">
        <v>1962</v>
      </c>
      <c r="F373" s="8">
        <v>1968</v>
      </c>
      <c r="G373" s="9">
        <f t="shared" si="11"/>
        <v>7</v>
      </c>
      <c r="H373" s="8" t="s">
        <v>31</v>
      </c>
      <c r="I373" s="9">
        <v>0</v>
      </c>
      <c r="J373" s="8" t="s">
        <v>770</v>
      </c>
      <c r="K373" s="11" t="s">
        <v>807</v>
      </c>
    </row>
    <row r="374" spans="1:11" x14ac:dyDescent="0.35">
      <c r="A374" s="8" t="s">
        <v>491</v>
      </c>
      <c r="B374" s="8" t="s">
        <v>492</v>
      </c>
      <c r="C374" s="9">
        <v>-9.4286089999999998</v>
      </c>
      <c r="D374" s="9">
        <v>159.95421200000001</v>
      </c>
      <c r="E374" s="8">
        <v>1957</v>
      </c>
      <c r="F374" s="8">
        <v>1968</v>
      </c>
      <c r="G374" s="9">
        <f t="shared" si="11"/>
        <v>9</v>
      </c>
      <c r="H374" s="8" t="s">
        <v>493</v>
      </c>
      <c r="I374" s="9">
        <v>3</v>
      </c>
      <c r="J374" s="8" t="s">
        <v>770</v>
      </c>
      <c r="K374" s="11" t="s">
        <v>807</v>
      </c>
    </row>
    <row r="375" spans="1:11" x14ac:dyDescent="0.35">
      <c r="A375" s="8" t="s">
        <v>770</v>
      </c>
      <c r="B375" s="12" t="s">
        <v>247</v>
      </c>
      <c r="C375" s="4">
        <v>5.616276</v>
      </c>
      <c r="D375" s="4">
        <v>48.728237</v>
      </c>
      <c r="E375" s="8">
        <v>1934</v>
      </c>
      <c r="F375" s="8">
        <v>1935</v>
      </c>
      <c r="G375" s="9">
        <f t="shared" si="11"/>
        <v>2</v>
      </c>
      <c r="H375" s="8" t="s">
        <v>31</v>
      </c>
      <c r="I375" s="9">
        <v>0</v>
      </c>
      <c r="J375" s="8" t="s">
        <v>798</v>
      </c>
      <c r="K375" s="11" t="s">
        <v>806</v>
      </c>
    </row>
    <row r="376" spans="1:11" x14ac:dyDescent="0.35">
      <c r="A376" s="8" t="s">
        <v>771</v>
      </c>
      <c r="B376" s="8" t="s">
        <v>772</v>
      </c>
      <c r="C376" s="4">
        <v>-29.265045000000001</v>
      </c>
      <c r="D376" s="4">
        <v>16.868980000000001</v>
      </c>
      <c r="E376" s="8">
        <v>1907</v>
      </c>
      <c r="F376" s="8">
        <v>1908</v>
      </c>
      <c r="G376" s="9">
        <f t="shared" si="11"/>
        <v>2</v>
      </c>
      <c r="H376" s="8" t="s">
        <v>31</v>
      </c>
      <c r="I376" s="9">
        <v>0</v>
      </c>
      <c r="J376" s="8" t="s">
        <v>770</v>
      </c>
      <c r="K376" s="8" t="s">
        <v>802</v>
      </c>
    </row>
    <row r="377" spans="1:11" x14ac:dyDescent="0.35">
      <c r="A377" s="8" t="s">
        <v>773</v>
      </c>
      <c r="B377" s="8" t="s">
        <v>772</v>
      </c>
      <c r="C377" s="4">
        <v>-33.906410999999999</v>
      </c>
      <c r="D377" s="4">
        <v>18.432728999999998</v>
      </c>
      <c r="E377" s="8">
        <v>1835</v>
      </c>
      <c r="F377" s="8">
        <v>1958</v>
      </c>
      <c r="G377" s="9">
        <f t="shared" si="11"/>
        <v>70</v>
      </c>
      <c r="H377" s="8" t="s">
        <v>774</v>
      </c>
      <c r="I377" s="9">
        <v>54</v>
      </c>
      <c r="J377" s="8" t="s">
        <v>770</v>
      </c>
      <c r="K377" s="8" t="s">
        <v>802</v>
      </c>
    </row>
    <row r="378" spans="1:11" x14ac:dyDescent="0.35">
      <c r="A378" s="8" t="s">
        <v>775</v>
      </c>
      <c r="B378" s="8" t="s">
        <v>772</v>
      </c>
      <c r="C378" s="4">
        <v>-34.189658000000001</v>
      </c>
      <c r="D378" s="4">
        <v>18.436533000000001</v>
      </c>
      <c r="E378" s="8">
        <v>1831</v>
      </c>
      <c r="F378" s="8">
        <v>1956</v>
      </c>
      <c r="G378" s="9">
        <f t="shared" si="11"/>
        <v>75</v>
      </c>
      <c r="H378" s="8" t="s">
        <v>776</v>
      </c>
      <c r="I378" s="9">
        <v>51</v>
      </c>
      <c r="J378" s="8" t="s">
        <v>770</v>
      </c>
      <c r="K378" s="8" t="s">
        <v>802</v>
      </c>
    </row>
    <row r="379" spans="1:11" x14ac:dyDescent="0.35">
      <c r="A379" s="8" t="s">
        <v>777</v>
      </c>
      <c r="B379" s="8" t="s">
        <v>772</v>
      </c>
      <c r="C379" s="4">
        <v>-33.961784999999999</v>
      </c>
      <c r="D379" s="4">
        <v>25.635940999999999</v>
      </c>
      <c r="E379" s="8">
        <v>1879</v>
      </c>
      <c r="F379" s="8">
        <v>1972</v>
      </c>
      <c r="G379" s="9">
        <f t="shared" si="11"/>
        <v>68</v>
      </c>
      <c r="H379" s="8" t="s">
        <v>778</v>
      </c>
      <c r="I379" s="9">
        <v>26</v>
      </c>
      <c r="J379" s="8" t="s">
        <v>770</v>
      </c>
      <c r="K379" s="8" t="s">
        <v>802</v>
      </c>
    </row>
    <row r="380" spans="1:11" x14ac:dyDescent="0.35">
      <c r="A380" s="8" t="s">
        <v>779</v>
      </c>
      <c r="B380" s="8" t="s">
        <v>772</v>
      </c>
      <c r="C380" s="4">
        <v>-33.025978000000002</v>
      </c>
      <c r="D380" s="4">
        <v>27.906426</v>
      </c>
      <c r="E380" s="8">
        <v>1867</v>
      </c>
      <c r="F380" s="8">
        <v>1959</v>
      </c>
      <c r="G380" s="9">
        <f t="shared" si="11"/>
        <v>56</v>
      </c>
      <c r="H380" s="8" t="s">
        <v>780</v>
      </c>
      <c r="I380" s="9">
        <v>37</v>
      </c>
      <c r="J380" s="8" t="s">
        <v>770</v>
      </c>
      <c r="K380" s="8" t="s">
        <v>802</v>
      </c>
    </row>
    <row r="381" spans="1:11" x14ac:dyDescent="0.35">
      <c r="A381" s="8" t="s">
        <v>781</v>
      </c>
      <c r="B381" s="8" t="s">
        <v>772</v>
      </c>
      <c r="C381" s="4">
        <v>-29.873816000000001</v>
      </c>
      <c r="D381" s="4">
        <v>31.047995</v>
      </c>
      <c r="E381" s="8">
        <v>1885</v>
      </c>
      <c r="F381" s="8">
        <v>1969</v>
      </c>
      <c r="G381" s="9">
        <f t="shared" si="11"/>
        <v>41</v>
      </c>
      <c r="H381" s="8" t="s">
        <v>782</v>
      </c>
      <c r="I381" s="9">
        <v>44</v>
      </c>
      <c r="J381" s="8" t="s">
        <v>770</v>
      </c>
      <c r="K381" s="8" t="s">
        <v>802</v>
      </c>
    </row>
    <row r="382" spans="1:11" x14ac:dyDescent="0.35">
      <c r="A382" s="8" t="s">
        <v>562</v>
      </c>
      <c r="B382" s="8" t="s">
        <v>563</v>
      </c>
      <c r="C382" s="9">
        <v>36.830637000000003</v>
      </c>
      <c r="D382" s="9">
        <v>-2.4635050000000001</v>
      </c>
      <c r="E382" s="8">
        <v>1977</v>
      </c>
      <c r="F382" s="8">
        <v>1998</v>
      </c>
      <c r="G382" s="9">
        <f t="shared" si="11"/>
        <v>22</v>
      </c>
      <c r="H382" s="8" t="s">
        <v>31</v>
      </c>
      <c r="I382" s="9">
        <v>0</v>
      </c>
      <c r="J382" s="8" t="s">
        <v>770</v>
      </c>
      <c r="K382" s="11" t="s">
        <v>807</v>
      </c>
    </row>
    <row r="383" spans="1:11" x14ac:dyDescent="0.35">
      <c r="A383" s="8" t="s">
        <v>564</v>
      </c>
      <c r="B383" s="8" t="s">
        <v>563</v>
      </c>
      <c r="C383" s="9">
        <v>37.588876999999997</v>
      </c>
      <c r="D383" s="9">
        <v>-0.98331599999999997</v>
      </c>
      <c r="E383" s="8">
        <v>1927</v>
      </c>
      <c r="F383" s="8">
        <v>1989</v>
      </c>
      <c r="G383" s="9">
        <f t="shared" si="11"/>
        <v>15</v>
      </c>
      <c r="H383" s="8" t="s">
        <v>565</v>
      </c>
      <c r="I383" s="9">
        <v>48</v>
      </c>
      <c r="J383" s="8" t="s">
        <v>770</v>
      </c>
      <c r="K383" s="11" t="s">
        <v>807</v>
      </c>
    </row>
    <row r="384" spans="1:11" x14ac:dyDescent="0.35">
      <c r="A384" s="8" t="s">
        <v>566</v>
      </c>
      <c r="B384" s="8" t="s">
        <v>563</v>
      </c>
      <c r="C384" s="9">
        <v>43.365659000000001</v>
      </c>
      <c r="D384" s="9">
        <v>-8.3871959999999994</v>
      </c>
      <c r="E384" s="8">
        <v>1950</v>
      </c>
      <c r="F384" s="8">
        <v>1983</v>
      </c>
      <c r="G384" s="9">
        <f t="shared" si="11"/>
        <v>34</v>
      </c>
      <c r="H384" s="8" t="s">
        <v>31</v>
      </c>
      <c r="I384" s="9">
        <v>0</v>
      </c>
      <c r="J384" s="8" t="s">
        <v>770</v>
      </c>
      <c r="K384" s="11" t="s">
        <v>807</v>
      </c>
    </row>
    <row r="385" spans="1:11" x14ac:dyDescent="0.35">
      <c r="A385" s="8" t="s">
        <v>507</v>
      </c>
      <c r="B385" s="8" t="s">
        <v>508</v>
      </c>
      <c r="C385" s="9">
        <v>-10.256349</v>
      </c>
      <c r="D385" s="9">
        <v>40.195383999999997</v>
      </c>
      <c r="E385" s="8">
        <v>1954</v>
      </c>
      <c r="F385" s="8">
        <v>1962</v>
      </c>
      <c r="G385" s="9">
        <f t="shared" si="11"/>
        <v>9</v>
      </c>
      <c r="H385" s="8" t="s">
        <v>31</v>
      </c>
      <c r="I385" s="9">
        <v>0</v>
      </c>
      <c r="J385" s="8" t="s">
        <v>770</v>
      </c>
      <c r="K385" s="11" t="s">
        <v>807</v>
      </c>
    </row>
    <row r="386" spans="1:11" x14ac:dyDescent="0.35">
      <c r="A386" s="12" t="s">
        <v>461</v>
      </c>
      <c r="B386" s="12" t="s">
        <v>462</v>
      </c>
      <c r="C386" s="4">
        <v>-66.776829000000006</v>
      </c>
      <c r="D386" s="4">
        <v>141.54198700000001</v>
      </c>
      <c r="E386" s="8">
        <v>1957</v>
      </c>
      <c r="F386" s="8">
        <v>1957</v>
      </c>
      <c r="G386" s="9">
        <f t="shared" si="11"/>
        <v>1</v>
      </c>
      <c r="H386" s="8" t="s">
        <v>31</v>
      </c>
      <c r="I386" s="9">
        <v>0</v>
      </c>
      <c r="J386" s="8" t="s">
        <v>798</v>
      </c>
      <c r="K386" s="11" t="s">
        <v>806</v>
      </c>
    </row>
    <row r="387" spans="1:11" x14ac:dyDescent="0.35">
      <c r="A387" s="8" t="s">
        <v>770</v>
      </c>
      <c r="B387" s="12" t="s">
        <v>462</v>
      </c>
      <c r="C387" s="4">
        <v>-66.776354999999995</v>
      </c>
      <c r="D387" s="4">
        <v>141.561342</v>
      </c>
      <c r="E387" s="8">
        <v>1961</v>
      </c>
      <c r="F387" s="8">
        <v>1962</v>
      </c>
      <c r="G387" s="9">
        <f t="shared" si="11"/>
        <v>2</v>
      </c>
      <c r="H387" s="8" t="s">
        <v>31</v>
      </c>
      <c r="I387" s="9">
        <v>0</v>
      </c>
      <c r="J387" s="8" t="s">
        <v>798</v>
      </c>
      <c r="K387" s="11" t="s">
        <v>806</v>
      </c>
    </row>
    <row r="388" spans="1:11" x14ac:dyDescent="0.35">
      <c r="A388" s="12" t="s">
        <v>392</v>
      </c>
      <c r="B388" s="12" t="s">
        <v>393</v>
      </c>
      <c r="C388" s="4">
        <v>9.499136</v>
      </c>
      <c r="D388" s="4">
        <v>100.012421</v>
      </c>
      <c r="E388" s="8">
        <v>1902</v>
      </c>
      <c r="F388" s="8">
        <v>1952</v>
      </c>
      <c r="G388" s="9">
        <f t="shared" si="11"/>
        <v>8</v>
      </c>
      <c r="H388" s="8" t="s">
        <v>394</v>
      </c>
      <c r="I388" s="9">
        <v>43</v>
      </c>
      <c r="J388" s="8" t="s">
        <v>798</v>
      </c>
      <c r="K388" s="11" t="s">
        <v>806</v>
      </c>
    </row>
    <row r="389" spans="1:11" x14ac:dyDescent="0.35">
      <c r="A389" s="12" t="s">
        <v>398</v>
      </c>
      <c r="B389" s="12" t="s">
        <v>399</v>
      </c>
      <c r="C389" s="4">
        <v>-8.3640969999999992</v>
      </c>
      <c r="D389" s="4">
        <v>127.077234</v>
      </c>
      <c r="E389" s="8">
        <v>1903</v>
      </c>
      <c r="F389" s="8">
        <v>1903</v>
      </c>
      <c r="G389" s="9">
        <f t="shared" si="11"/>
        <v>1</v>
      </c>
      <c r="H389" s="8" t="s">
        <v>31</v>
      </c>
      <c r="I389" s="9">
        <v>0</v>
      </c>
      <c r="J389" s="8" t="s">
        <v>799</v>
      </c>
      <c r="K389" s="11" t="s">
        <v>806</v>
      </c>
    </row>
    <row r="390" spans="1:11" x14ac:dyDescent="0.35">
      <c r="A390" s="8" t="s">
        <v>770</v>
      </c>
      <c r="B390" s="12" t="s">
        <v>251</v>
      </c>
      <c r="C390" s="4">
        <v>33.916685999999999</v>
      </c>
      <c r="D390" s="4">
        <v>10.111281</v>
      </c>
      <c r="E390" s="8">
        <v>1881</v>
      </c>
      <c r="F390" s="8">
        <v>1952</v>
      </c>
      <c r="G390" s="9">
        <f t="shared" si="11"/>
        <v>12</v>
      </c>
      <c r="H390" s="8" t="s">
        <v>252</v>
      </c>
      <c r="I390" s="9">
        <v>60</v>
      </c>
      <c r="J390" s="8" t="s">
        <v>798</v>
      </c>
      <c r="K390" s="11" t="s">
        <v>806</v>
      </c>
    </row>
    <row r="391" spans="1:11" x14ac:dyDescent="0.35">
      <c r="A391" s="8" t="s">
        <v>253</v>
      </c>
      <c r="B391" s="12" t="s">
        <v>251</v>
      </c>
      <c r="C391" s="4">
        <v>37.276037000000002</v>
      </c>
      <c r="D391" s="4">
        <v>9.8762080000000001</v>
      </c>
      <c r="E391" s="8">
        <v>1890</v>
      </c>
      <c r="F391" s="8">
        <v>1955</v>
      </c>
      <c r="G391" s="9">
        <f t="shared" si="11"/>
        <v>24</v>
      </c>
      <c r="H391" s="8" t="s">
        <v>254</v>
      </c>
      <c r="I391" s="9">
        <v>42</v>
      </c>
      <c r="J391" s="8" t="s">
        <v>798</v>
      </c>
      <c r="K391" s="11" t="s">
        <v>806</v>
      </c>
    </row>
    <row r="392" spans="1:11" x14ac:dyDescent="0.35">
      <c r="A392" s="12" t="s">
        <v>255</v>
      </c>
      <c r="B392" s="12" t="s">
        <v>251</v>
      </c>
      <c r="C392" s="4">
        <v>33.895395999999998</v>
      </c>
      <c r="D392" s="4">
        <v>10.116742</v>
      </c>
      <c r="E392" s="8">
        <v>1885</v>
      </c>
      <c r="F392" s="8">
        <v>1885</v>
      </c>
      <c r="G392" s="9">
        <f t="shared" si="11"/>
        <v>1</v>
      </c>
      <c r="H392" s="8" t="s">
        <v>31</v>
      </c>
      <c r="I392" s="9">
        <v>0</v>
      </c>
      <c r="J392" s="8" t="s">
        <v>798</v>
      </c>
      <c r="K392" s="11" t="s">
        <v>806</v>
      </c>
    </row>
    <row r="393" spans="1:11" x14ac:dyDescent="0.35">
      <c r="A393" s="12" t="s">
        <v>256</v>
      </c>
      <c r="B393" s="12" t="s">
        <v>251</v>
      </c>
      <c r="C393" s="4">
        <v>34.727156000000001</v>
      </c>
      <c r="D393" s="4">
        <v>10.764077</v>
      </c>
      <c r="E393" s="8">
        <v>1884</v>
      </c>
      <c r="F393" s="8">
        <v>1949</v>
      </c>
      <c r="G393" s="9">
        <f t="shared" si="11"/>
        <v>3</v>
      </c>
      <c r="H393" s="8" t="s">
        <v>257</v>
      </c>
      <c r="I393" s="9">
        <v>63</v>
      </c>
      <c r="J393" s="8" t="s">
        <v>798</v>
      </c>
      <c r="K393" s="11" t="s">
        <v>806</v>
      </c>
    </row>
    <row r="394" spans="1:11" x14ac:dyDescent="0.35">
      <c r="A394" s="12" t="s">
        <v>256</v>
      </c>
      <c r="B394" s="12" t="s">
        <v>251</v>
      </c>
      <c r="C394" s="4">
        <v>34.727156000000001</v>
      </c>
      <c r="D394" s="4">
        <v>10.764077</v>
      </c>
      <c r="E394" s="8">
        <v>1884</v>
      </c>
      <c r="F394" s="8">
        <v>1886</v>
      </c>
      <c r="G394" s="9">
        <f t="shared" si="11"/>
        <v>3</v>
      </c>
      <c r="H394" s="8" t="s">
        <v>31</v>
      </c>
      <c r="I394" s="9">
        <v>0</v>
      </c>
      <c r="J394" s="8" t="s">
        <v>799</v>
      </c>
      <c r="K394" s="11" t="s">
        <v>806</v>
      </c>
    </row>
    <row r="395" spans="1:11" x14ac:dyDescent="0.35">
      <c r="A395" s="12" t="s">
        <v>256</v>
      </c>
      <c r="B395" s="12" t="s">
        <v>251</v>
      </c>
      <c r="C395" s="4">
        <v>34.727156000000001</v>
      </c>
      <c r="D395" s="4">
        <v>10.764077</v>
      </c>
      <c r="E395" s="8">
        <v>1946</v>
      </c>
      <c r="F395" s="8">
        <v>1947</v>
      </c>
      <c r="G395" s="9">
        <f t="shared" si="11"/>
        <v>2</v>
      </c>
      <c r="H395" s="8" t="s">
        <v>31</v>
      </c>
      <c r="I395" s="9">
        <v>0</v>
      </c>
      <c r="J395" s="8" t="s">
        <v>770</v>
      </c>
      <c r="K395" s="11" t="s">
        <v>806</v>
      </c>
    </row>
    <row r="396" spans="1:11" x14ac:dyDescent="0.35">
      <c r="A396" s="12" t="s">
        <v>258</v>
      </c>
      <c r="B396" s="12" t="s">
        <v>251</v>
      </c>
      <c r="C396" s="4">
        <v>33.716064000000003</v>
      </c>
      <c r="D396" s="4">
        <v>10.741675000000001</v>
      </c>
      <c r="E396" s="8">
        <v>1933</v>
      </c>
      <c r="F396" s="8">
        <v>1933</v>
      </c>
      <c r="G396" s="9">
        <f t="shared" si="11"/>
        <v>1</v>
      </c>
      <c r="H396" s="8" t="s">
        <v>31</v>
      </c>
      <c r="I396" s="9">
        <v>0</v>
      </c>
      <c r="J396" s="8" t="s">
        <v>798</v>
      </c>
      <c r="K396" s="11" t="s">
        <v>806</v>
      </c>
    </row>
    <row r="397" spans="1:11" x14ac:dyDescent="0.35">
      <c r="A397" s="8" t="s">
        <v>469</v>
      </c>
      <c r="B397" s="8" t="s">
        <v>470</v>
      </c>
      <c r="C397" s="9">
        <v>54.103062000000001</v>
      </c>
      <c r="D397" s="9">
        <v>-3.2132610000000001</v>
      </c>
      <c r="E397" s="8">
        <v>1849</v>
      </c>
      <c r="F397" s="8">
        <v>1891</v>
      </c>
      <c r="G397" s="9">
        <f t="shared" si="11"/>
        <v>29</v>
      </c>
      <c r="H397" s="8" t="s">
        <v>471</v>
      </c>
      <c r="I397" s="9">
        <v>14</v>
      </c>
      <c r="J397" s="8" t="s">
        <v>770</v>
      </c>
      <c r="K397" s="11" t="s">
        <v>807</v>
      </c>
    </row>
    <row r="398" spans="1:11" x14ac:dyDescent="0.35">
      <c r="A398" s="8" t="s">
        <v>472</v>
      </c>
      <c r="B398" s="8" t="s">
        <v>470</v>
      </c>
      <c r="C398" s="9">
        <v>54.112859999999998</v>
      </c>
      <c r="D398" s="9">
        <v>-3.2415769999999999</v>
      </c>
      <c r="E398" s="8">
        <v>1992</v>
      </c>
      <c r="F398" s="8">
        <v>1996</v>
      </c>
      <c r="G398" s="9">
        <f t="shared" si="11"/>
        <v>5</v>
      </c>
      <c r="H398" s="8" t="s">
        <v>31</v>
      </c>
      <c r="I398" s="9">
        <v>0</v>
      </c>
      <c r="J398" s="8" t="s">
        <v>770</v>
      </c>
      <c r="K398" s="11" t="s">
        <v>807</v>
      </c>
    </row>
    <row r="399" spans="1:11" x14ac:dyDescent="0.35">
      <c r="A399" s="8" t="s">
        <v>473</v>
      </c>
      <c r="B399" s="8" t="s">
        <v>470</v>
      </c>
      <c r="C399" s="9">
        <v>54.074683999999998</v>
      </c>
      <c r="D399" s="9">
        <v>-3.1769980000000002</v>
      </c>
      <c r="E399" s="8">
        <v>1992</v>
      </c>
      <c r="F399" s="8">
        <v>1996</v>
      </c>
      <c r="G399" s="9">
        <f t="shared" si="11"/>
        <v>5</v>
      </c>
      <c r="H399" s="8" t="s">
        <v>31</v>
      </c>
      <c r="I399" s="9">
        <v>0</v>
      </c>
      <c r="J399" s="8" t="s">
        <v>770</v>
      </c>
      <c r="K399" s="11" t="s">
        <v>807</v>
      </c>
    </row>
    <row r="400" spans="1:11" x14ac:dyDescent="0.35">
      <c r="A400" s="8" t="s">
        <v>476</v>
      </c>
      <c r="B400" s="8" t="s">
        <v>470</v>
      </c>
      <c r="C400" s="9">
        <v>53.706952000000001</v>
      </c>
      <c r="D400" s="9">
        <v>-0.72533000000000003</v>
      </c>
      <c r="E400" s="8">
        <v>1991</v>
      </c>
      <c r="F400" s="8">
        <v>1992</v>
      </c>
      <c r="G400" s="9">
        <f t="shared" si="11"/>
        <v>2</v>
      </c>
      <c r="H400" s="8" t="s">
        <v>31</v>
      </c>
      <c r="I400" s="9">
        <v>0</v>
      </c>
      <c r="J400" s="8" t="s">
        <v>770</v>
      </c>
      <c r="K400" s="11" t="s">
        <v>807</v>
      </c>
    </row>
    <row r="401" spans="1:11" x14ac:dyDescent="0.35">
      <c r="A401" s="8" t="s">
        <v>479</v>
      </c>
      <c r="B401" s="8" t="s">
        <v>470</v>
      </c>
      <c r="C401" s="9">
        <v>50.713735</v>
      </c>
      <c r="D401" s="9">
        <v>-1.8747750000000001</v>
      </c>
      <c r="E401" s="8">
        <v>1974</v>
      </c>
      <c r="F401" s="8">
        <v>1990</v>
      </c>
      <c r="G401" s="9">
        <f t="shared" si="11"/>
        <v>17</v>
      </c>
      <c r="H401" s="8" t="s">
        <v>31</v>
      </c>
      <c r="I401" s="9">
        <v>0</v>
      </c>
      <c r="J401" s="8" t="s">
        <v>770</v>
      </c>
      <c r="K401" s="11" t="s">
        <v>807</v>
      </c>
    </row>
    <row r="402" spans="1:11" x14ac:dyDescent="0.35">
      <c r="A402" s="8" t="s">
        <v>480</v>
      </c>
      <c r="B402" s="8" t="s">
        <v>470</v>
      </c>
      <c r="C402" s="9">
        <v>51.625191000000001</v>
      </c>
      <c r="D402" s="9">
        <v>0.81597399999999998</v>
      </c>
      <c r="E402" s="8">
        <v>1987</v>
      </c>
      <c r="F402" s="8">
        <v>1988</v>
      </c>
      <c r="G402" s="9">
        <f t="shared" si="11"/>
        <v>2</v>
      </c>
      <c r="H402" s="8" t="s">
        <v>31</v>
      </c>
      <c r="I402" s="9">
        <v>0</v>
      </c>
      <c r="J402" s="8" t="s">
        <v>770</v>
      </c>
      <c r="K402" s="11" t="s">
        <v>807</v>
      </c>
    </row>
    <row r="403" spans="1:11" x14ac:dyDescent="0.35">
      <c r="A403" s="8" t="s">
        <v>484</v>
      </c>
      <c r="B403" s="8" t="s">
        <v>470</v>
      </c>
      <c r="C403" s="9">
        <v>51.385019999999997</v>
      </c>
      <c r="D403" s="9">
        <v>0.52048099999999997</v>
      </c>
      <c r="E403" s="8">
        <v>1968</v>
      </c>
      <c r="F403" s="8">
        <v>1987</v>
      </c>
      <c r="G403" s="9">
        <f t="shared" si="11"/>
        <v>19</v>
      </c>
      <c r="H403" s="8">
        <v>1975</v>
      </c>
      <c r="I403" s="9">
        <v>1</v>
      </c>
      <c r="J403" s="8" t="s">
        <v>770</v>
      </c>
      <c r="K403" s="11" t="s">
        <v>807</v>
      </c>
    </row>
    <row r="404" spans="1:11" x14ac:dyDescent="0.35">
      <c r="A404" s="8" t="s">
        <v>485</v>
      </c>
      <c r="B404" s="8" t="s">
        <v>470</v>
      </c>
      <c r="C404" s="9">
        <v>56.005667000000003</v>
      </c>
      <c r="D404" s="9">
        <v>-2.5174439999999998</v>
      </c>
      <c r="E404" s="8">
        <v>1969</v>
      </c>
      <c r="F404" s="8">
        <v>1979</v>
      </c>
      <c r="G404" s="9">
        <f t="shared" si="11"/>
        <v>11</v>
      </c>
      <c r="H404" s="8" t="s">
        <v>31</v>
      </c>
      <c r="I404" s="9">
        <v>0</v>
      </c>
      <c r="J404" s="8" t="s">
        <v>770</v>
      </c>
      <c r="K404" s="11" t="s">
        <v>807</v>
      </c>
    </row>
    <row r="405" spans="1:11" x14ac:dyDescent="0.35">
      <c r="A405" s="8" t="s">
        <v>486</v>
      </c>
      <c r="B405" s="8" t="s">
        <v>470</v>
      </c>
      <c r="C405" s="9">
        <v>53.919018000000001</v>
      </c>
      <c r="D405" s="9">
        <v>-3.0089839999999999</v>
      </c>
      <c r="E405" s="8">
        <v>1992</v>
      </c>
      <c r="F405" s="8">
        <v>1992</v>
      </c>
      <c r="G405" s="9">
        <f t="shared" si="11"/>
        <v>1</v>
      </c>
      <c r="H405" s="8" t="s">
        <v>31</v>
      </c>
      <c r="I405" s="9">
        <v>0</v>
      </c>
      <c r="J405" s="8" t="s">
        <v>770</v>
      </c>
      <c r="K405" s="11" t="s">
        <v>807</v>
      </c>
    </row>
    <row r="406" spans="1:11" x14ac:dyDescent="0.35">
      <c r="A406" s="8" t="s">
        <v>487</v>
      </c>
      <c r="B406" s="8" t="s">
        <v>470</v>
      </c>
      <c r="C406" s="9">
        <v>53.697707000000001</v>
      </c>
      <c r="D406" s="9">
        <v>-0.87079200000000001</v>
      </c>
      <c r="E406" s="8">
        <v>1994</v>
      </c>
      <c r="F406" s="8">
        <v>1996</v>
      </c>
      <c r="G406" s="9">
        <f t="shared" si="11"/>
        <v>3</v>
      </c>
      <c r="H406" s="8" t="s">
        <v>31</v>
      </c>
      <c r="I406" s="9">
        <v>0</v>
      </c>
      <c r="J406" s="8" t="s">
        <v>770</v>
      </c>
      <c r="K406" s="11" t="s">
        <v>807</v>
      </c>
    </row>
    <row r="407" spans="1:11" x14ac:dyDescent="0.35">
      <c r="A407" s="8" t="s">
        <v>488</v>
      </c>
      <c r="B407" s="8" t="s">
        <v>470</v>
      </c>
      <c r="C407" s="9">
        <v>52.571922999999998</v>
      </c>
      <c r="D407" s="9">
        <v>1.738375</v>
      </c>
      <c r="E407" s="8">
        <v>1991</v>
      </c>
      <c r="F407" s="8">
        <v>1993</v>
      </c>
      <c r="G407" s="9">
        <f t="shared" si="11"/>
        <v>3</v>
      </c>
      <c r="H407" s="8" t="s">
        <v>31</v>
      </c>
      <c r="I407" s="9">
        <v>0</v>
      </c>
      <c r="J407" s="8" t="s">
        <v>770</v>
      </c>
      <c r="K407" s="11" t="s">
        <v>807</v>
      </c>
    </row>
    <row r="408" spans="1:11" x14ac:dyDescent="0.35">
      <c r="A408" s="8" t="s">
        <v>489</v>
      </c>
      <c r="B408" s="8" t="s">
        <v>470</v>
      </c>
      <c r="C408" s="9">
        <v>55.946814000000003</v>
      </c>
      <c r="D408" s="9">
        <v>-4.7487510000000004</v>
      </c>
      <c r="E408" s="8">
        <v>1972</v>
      </c>
      <c r="F408" s="8">
        <v>1989</v>
      </c>
      <c r="G408" s="9">
        <f t="shared" si="11"/>
        <v>17</v>
      </c>
      <c r="H408" s="8">
        <v>1985</v>
      </c>
      <c r="I408" s="9">
        <v>1</v>
      </c>
      <c r="J408" s="8" t="s">
        <v>770</v>
      </c>
      <c r="K408" s="11" t="s">
        <v>807</v>
      </c>
    </row>
    <row r="409" spans="1:11" x14ac:dyDescent="0.35">
      <c r="A409" s="8" t="s">
        <v>490</v>
      </c>
      <c r="B409" s="8" t="s">
        <v>470</v>
      </c>
      <c r="C409" s="9">
        <v>54.049543</v>
      </c>
      <c r="D409" s="9">
        <v>-3.1729639999999999</v>
      </c>
      <c r="E409" s="8">
        <v>1982</v>
      </c>
      <c r="F409" s="8">
        <v>1982</v>
      </c>
      <c r="G409" s="9">
        <f t="shared" ref="G409:G472" si="12">(1+(F409-E409))-I409</f>
        <v>1</v>
      </c>
      <c r="H409" s="8" t="s">
        <v>31</v>
      </c>
      <c r="I409" s="9">
        <v>0</v>
      </c>
      <c r="J409" s="8" t="s">
        <v>770</v>
      </c>
      <c r="K409" s="11" t="s">
        <v>807</v>
      </c>
    </row>
    <row r="410" spans="1:11" x14ac:dyDescent="0.35">
      <c r="A410" s="8" t="s">
        <v>494</v>
      </c>
      <c r="B410" s="8" t="s">
        <v>470</v>
      </c>
      <c r="C410" s="9">
        <v>53.714032000000003</v>
      </c>
      <c r="D410" s="9">
        <v>-0.45144099999999998</v>
      </c>
      <c r="E410" s="8">
        <v>1991</v>
      </c>
      <c r="F410" s="8">
        <v>1992</v>
      </c>
      <c r="G410" s="9">
        <f t="shared" si="12"/>
        <v>2</v>
      </c>
      <c r="H410" s="8" t="s">
        <v>31</v>
      </c>
      <c r="I410" s="9">
        <v>0</v>
      </c>
      <c r="J410" s="8" t="s">
        <v>770</v>
      </c>
      <c r="K410" s="11" t="s">
        <v>807</v>
      </c>
    </row>
    <row r="411" spans="1:11" x14ac:dyDescent="0.35">
      <c r="A411" s="8" t="s">
        <v>495</v>
      </c>
      <c r="B411" s="8" t="s">
        <v>470</v>
      </c>
      <c r="C411" s="4">
        <v>51.211139000000003</v>
      </c>
      <c r="D411" s="9">
        <v>-4.1123890000000003</v>
      </c>
      <c r="E411" s="8">
        <v>1970</v>
      </c>
      <c r="F411" s="8">
        <v>1971</v>
      </c>
      <c r="G411" s="9">
        <f t="shared" si="12"/>
        <v>2</v>
      </c>
      <c r="H411" s="8" t="s">
        <v>31</v>
      </c>
      <c r="I411" s="9">
        <v>0</v>
      </c>
      <c r="J411" s="8" t="s">
        <v>770</v>
      </c>
      <c r="K411" s="11" t="s">
        <v>807</v>
      </c>
    </row>
    <row r="412" spans="1:11" x14ac:dyDescent="0.35">
      <c r="A412" s="8" t="s">
        <v>496</v>
      </c>
      <c r="B412" s="8" t="s">
        <v>470</v>
      </c>
      <c r="C412" s="9">
        <v>57.685794000000001</v>
      </c>
      <c r="D412" s="9">
        <v>-4.1674410000000002</v>
      </c>
      <c r="E412" s="8">
        <v>1915</v>
      </c>
      <c r="F412" s="8">
        <v>1918</v>
      </c>
      <c r="G412" s="9">
        <f t="shared" si="12"/>
        <v>4</v>
      </c>
      <c r="H412" s="8" t="s">
        <v>31</v>
      </c>
      <c r="I412" s="9">
        <v>0</v>
      </c>
      <c r="J412" s="8" t="s">
        <v>770</v>
      </c>
      <c r="K412" s="11" t="s">
        <v>807</v>
      </c>
    </row>
    <row r="413" spans="1:11" x14ac:dyDescent="0.35">
      <c r="A413" s="8" t="s">
        <v>497</v>
      </c>
      <c r="B413" s="8" t="s">
        <v>470</v>
      </c>
      <c r="C413" s="9">
        <v>57.494554000000001</v>
      </c>
      <c r="D413" s="9">
        <v>-4.2346219999999999</v>
      </c>
      <c r="E413" s="8">
        <v>1995</v>
      </c>
      <c r="F413" s="8">
        <v>1995</v>
      </c>
      <c r="G413" s="9">
        <f t="shared" si="12"/>
        <v>1</v>
      </c>
      <c r="H413" s="8" t="s">
        <v>31</v>
      </c>
      <c r="I413" s="9">
        <v>0</v>
      </c>
      <c r="J413" s="8" t="s">
        <v>770</v>
      </c>
      <c r="K413" s="11" t="s">
        <v>807</v>
      </c>
    </row>
    <row r="414" spans="1:11" x14ac:dyDescent="0.35">
      <c r="A414" s="8" t="s">
        <v>502</v>
      </c>
      <c r="B414" s="8" t="s">
        <v>470</v>
      </c>
      <c r="C414" s="9">
        <v>54.847827000000002</v>
      </c>
      <c r="D414" s="9">
        <v>-5.7965289999999996</v>
      </c>
      <c r="E414" s="8">
        <v>1968</v>
      </c>
      <c r="F414" s="8">
        <v>1969</v>
      </c>
      <c r="G414" s="9">
        <f t="shared" si="12"/>
        <v>2</v>
      </c>
      <c r="H414" s="8" t="s">
        <v>31</v>
      </c>
      <c r="I414" s="9">
        <v>0</v>
      </c>
      <c r="J414" s="8" t="s">
        <v>770</v>
      </c>
      <c r="K414" s="11" t="s">
        <v>807</v>
      </c>
    </row>
    <row r="415" spans="1:11" x14ac:dyDescent="0.35">
      <c r="A415" s="8" t="s">
        <v>503</v>
      </c>
      <c r="B415" s="8" t="s">
        <v>470</v>
      </c>
      <c r="C415" s="4">
        <v>55.983333000000002</v>
      </c>
      <c r="D415" s="9">
        <v>-3.1666669999999999</v>
      </c>
      <c r="E415" s="8">
        <v>1980</v>
      </c>
      <c r="F415" s="8">
        <v>1988</v>
      </c>
      <c r="G415" s="9">
        <f t="shared" si="12"/>
        <v>9</v>
      </c>
      <c r="H415" s="8" t="s">
        <v>31</v>
      </c>
      <c r="I415" s="9">
        <v>0</v>
      </c>
      <c r="J415" s="8" t="s">
        <v>770</v>
      </c>
      <c r="K415" s="11" t="s">
        <v>807</v>
      </c>
    </row>
    <row r="416" spans="1:11" x14ac:dyDescent="0.35">
      <c r="A416" s="8" t="s">
        <v>504</v>
      </c>
      <c r="B416" s="8" t="s">
        <v>470</v>
      </c>
      <c r="C416" s="4">
        <v>51.707388999999999</v>
      </c>
      <c r="D416" s="9">
        <v>-5.0515280000000002</v>
      </c>
      <c r="E416" s="8">
        <v>1980</v>
      </c>
      <c r="F416" s="8">
        <v>1984</v>
      </c>
      <c r="G416" s="9">
        <f t="shared" si="12"/>
        <v>5</v>
      </c>
      <c r="H416" s="8" t="s">
        <v>31</v>
      </c>
      <c r="I416" s="9">
        <v>0</v>
      </c>
      <c r="J416" s="8" t="s">
        <v>770</v>
      </c>
      <c r="K416" s="11" t="s">
        <v>807</v>
      </c>
    </row>
    <row r="417" spans="1:11" x14ac:dyDescent="0.35">
      <c r="A417" s="8" t="s">
        <v>509</v>
      </c>
      <c r="B417" s="8" t="s">
        <v>470</v>
      </c>
      <c r="C417" s="9">
        <v>50.578543000000003</v>
      </c>
      <c r="D417" s="9">
        <v>-1.275784</v>
      </c>
      <c r="E417" s="8">
        <v>1934</v>
      </c>
      <c r="F417" s="8">
        <v>1935</v>
      </c>
      <c r="G417" s="9">
        <f t="shared" si="12"/>
        <v>2</v>
      </c>
      <c r="H417" s="8" t="s">
        <v>31</v>
      </c>
      <c r="I417" s="9">
        <v>0</v>
      </c>
      <c r="J417" s="8" t="s">
        <v>770</v>
      </c>
      <c r="K417" s="11" t="s">
        <v>807</v>
      </c>
    </row>
    <row r="418" spans="1:11" x14ac:dyDescent="0.35">
      <c r="A418" s="8" t="s">
        <v>510</v>
      </c>
      <c r="B418" s="8" t="s">
        <v>470</v>
      </c>
      <c r="C418" s="9">
        <v>51.497860000000003</v>
      </c>
      <c r="D418" s="9">
        <v>6.0947000000000001E-2</v>
      </c>
      <c r="E418" s="8">
        <v>1989</v>
      </c>
      <c r="F418" s="8">
        <v>1996</v>
      </c>
      <c r="G418" s="9">
        <f t="shared" si="12"/>
        <v>8</v>
      </c>
      <c r="H418" s="8" t="s">
        <v>31</v>
      </c>
      <c r="I418" s="9">
        <v>0</v>
      </c>
      <c r="J418" s="8" t="s">
        <v>770</v>
      </c>
      <c r="K418" s="11" t="s">
        <v>807</v>
      </c>
    </row>
    <row r="419" spans="1:11" x14ac:dyDescent="0.35">
      <c r="A419" s="8" t="s">
        <v>511</v>
      </c>
      <c r="B419" s="8" t="s">
        <v>470</v>
      </c>
      <c r="C419" s="9">
        <v>56.411216000000003</v>
      </c>
      <c r="D419" s="9">
        <v>-5.480073</v>
      </c>
      <c r="E419" s="8">
        <v>1910</v>
      </c>
      <c r="F419" s="8">
        <v>1972</v>
      </c>
      <c r="G419" s="9">
        <f t="shared" si="12"/>
        <v>7</v>
      </c>
      <c r="H419" s="8" t="s">
        <v>512</v>
      </c>
      <c r="I419" s="9">
        <v>56</v>
      </c>
      <c r="J419" s="8" t="s">
        <v>770</v>
      </c>
      <c r="K419" s="11" t="s">
        <v>807</v>
      </c>
    </row>
    <row r="420" spans="1:11" x14ac:dyDescent="0.35">
      <c r="A420" s="8" t="s">
        <v>514</v>
      </c>
      <c r="B420" s="8" t="s">
        <v>470</v>
      </c>
      <c r="C420" s="9">
        <v>50.364587999999998</v>
      </c>
      <c r="D420" s="9">
        <v>-4.1564300000000003</v>
      </c>
      <c r="E420" s="8">
        <v>1953</v>
      </c>
      <c r="F420" s="8">
        <v>1961</v>
      </c>
      <c r="G420" s="9">
        <f t="shared" si="12"/>
        <v>9</v>
      </c>
      <c r="H420" s="8" t="s">
        <v>31</v>
      </c>
      <c r="I420" s="9">
        <v>0</v>
      </c>
      <c r="J420" s="8" t="s">
        <v>770</v>
      </c>
      <c r="K420" s="11" t="s">
        <v>807</v>
      </c>
    </row>
    <row r="421" spans="1:11" x14ac:dyDescent="0.35">
      <c r="A421" s="8" t="s">
        <v>520</v>
      </c>
      <c r="B421" s="8" t="s">
        <v>470</v>
      </c>
      <c r="C421" s="9">
        <v>50.571227999999998</v>
      </c>
      <c r="D421" s="9">
        <v>-2.433373</v>
      </c>
      <c r="E421" s="8">
        <v>1923</v>
      </c>
      <c r="F421" s="8">
        <v>1987</v>
      </c>
      <c r="G421" s="9">
        <f t="shared" si="12"/>
        <v>22</v>
      </c>
      <c r="H421" s="8" t="s">
        <v>521</v>
      </c>
      <c r="I421" s="9">
        <v>43</v>
      </c>
      <c r="J421" s="8" t="s">
        <v>770</v>
      </c>
      <c r="K421" s="11" t="s">
        <v>807</v>
      </c>
    </row>
    <row r="422" spans="1:11" x14ac:dyDescent="0.35">
      <c r="A422" s="8" t="s">
        <v>522</v>
      </c>
      <c r="B422" s="8" t="s">
        <v>470</v>
      </c>
      <c r="C422" s="9">
        <v>50.794344000000002</v>
      </c>
      <c r="D422" s="9">
        <v>-1.108158</v>
      </c>
      <c r="E422" s="8">
        <v>1936</v>
      </c>
      <c r="F422" s="8">
        <v>1958</v>
      </c>
      <c r="G422" s="9">
        <f t="shared" si="12"/>
        <v>22</v>
      </c>
      <c r="H422" s="8">
        <v>1938</v>
      </c>
      <c r="I422" s="9">
        <v>1</v>
      </c>
      <c r="J422" s="8" t="s">
        <v>770</v>
      </c>
      <c r="K422" s="11" t="s">
        <v>807</v>
      </c>
    </row>
    <row r="423" spans="1:11" x14ac:dyDescent="0.35">
      <c r="A423" s="8" t="s">
        <v>523</v>
      </c>
      <c r="B423" s="8" t="s">
        <v>470</v>
      </c>
      <c r="C423" s="9">
        <v>51.327548</v>
      </c>
      <c r="D423" s="9">
        <v>1.4160170000000001</v>
      </c>
      <c r="E423" s="8">
        <v>1990</v>
      </c>
      <c r="F423" s="8">
        <v>1991</v>
      </c>
      <c r="G423" s="9">
        <f t="shared" si="12"/>
        <v>2</v>
      </c>
      <c r="H423" s="8" t="s">
        <v>31</v>
      </c>
      <c r="I423" s="9">
        <v>0</v>
      </c>
      <c r="J423" s="8" t="s">
        <v>770</v>
      </c>
      <c r="K423" s="11" t="s">
        <v>807</v>
      </c>
    </row>
    <row r="424" spans="1:11" x14ac:dyDescent="0.35">
      <c r="A424" s="8" t="s">
        <v>526</v>
      </c>
      <c r="B424" s="8" t="s">
        <v>470</v>
      </c>
      <c r="C424" s="9">
        <v>56.019820000000003</v>
      </c>
      <c r="D424" s="9">
        <v>-3.4453649999999998</v>
      </c>
      <c r="E424" s="8">
        <v>1912</v>
      </c>
      <c r="F424" s="8">
        <v>1964</v>
      </c>
      <c r="G424" s="9">
        <f t="shared" si="12"/>
        <v>29</v>
      </c>
      <c r="H424" s="8" t="s">
        <v>527</v>
      </c>
      <c r="I424" s="9">
        <v>24</v>
      </c>
      <c r="J424" s="8" t="s">
        <v>770</v>
      </c>
      <c r="K424" s="11" t="s">
        <v>807</v>
      </c>
    </row>
    <row r="425" spans="1:11" x14ac:dyDescent="0.35">
      <c r="A425" s="8" t="s">
        <v>529</v>
      </c>
      <c r="B425" s="8" t="s">
        <v>470</v>
      </c>
      <c r="C425" s="9">
        <v>54.281847999999997</v>
      </c>
      <c r="D425" s="9">
        <v>-0.390067</v>
      </c>
      <c r="E425" s="8">
        <v>1958</v>
      </c>
      <c r="F425" s="8">
        <v>1967</v>
      </c>
      <c r="G425" s="9">
        <f t="shared" si="12"/>
        <v>10</v>
      </c>
      <c r="H425" s="8" t="s">
        <v>31</v>
      </c>
      <c r="I425" s="9">
        <v>0</v>
      </c>
      <c r="J425" s="8" t="s">
        <v>770</v>
      </c>
      <c r="K425" s="11" t="s">
        <v>807</v>
      </c>
    </row>
    <row r="426" spans="1:11" x14ac:dyDescent="0.35">
      <c r="A426" s="8" t="s">
        <v>530</v>
      </c>
      <c r="B426" s="8" t="s">
        <v>470</v>
      </c>
      <c r="C426" s="9">
        <v>58.609991000000001</v>
      </c>
      <c r="D426" s="9">
        <v>-3.546554</v>
      </c>
      <c r="E426" s="8">
        <v>1966</v>
      </c>
      <c r="F426" s="8">
        <v>1976</v>
      </c>
      <c r="G426" s="9">
        <f t="shared" si="12"/>
        <v>11</v>
      </c>
      <c r="H426" s="8" t="s">
        <v>31</v>
      </c>
      <c r="I426" s="9">
        <v>0</v>
      </c>
      <c r="J426" s="8" t="s">
        <v>770</v>
      </c>
      <c r="K426" s="11" t="s">
        <v>807</v>
      </c>
    </row>
    <row r="427" spans="1:11" x14ac:dyDescent="0.35">
      <c r="A427" s="8" t="s">
        <v>531</v>
      </c>
      <c r="B427" s="8" t="s">
        <v>470</v>
      </c>
      <c r="C427" s="9">
        <v>50.831344999999999</v>
      </c>
      <c r="D427" s="9">
        <v>-0.27302399999999999</v>
      </c>
      <c r="E427" s="8">
        <v>1965</v>
      </c>
      <c r="F427" s="8">
        <v>1997</v>
      </c>
      <c r="G427" s="9">
        <f t="shared" si="12"/>
        <v>16</v>
      </c>
      <c r="H427" s="8" t="s">
        <v>532</v>
      </c>
      <c r="I427" s="9">
        <v>17</v>
      </c>
      <c r="J427" s="8" t="s">
        <v>770</v>
      </c>
      <c r="K427" s="11" t="s">
        <v>807</v>
      </c>
    </row>
    <row r="428" spans="1:11" x14ac:dyDescent="0.35">
      <c r="A428" s="8" t="s">
        <v>534</v>
      </c>
      <c r="B428" s="8" t="s">
        <v>470</v>
      </c>
      <c r="C428" s="9">
        <v>58.963495999999999</v>
      </c>
      <c r="D428" s="9">
        <v>-3.2951619999999999</v>
      </c>
      <c r="E428" s="8">
        <v>1910</v>
      </c>
      <c r="F428" s="8">
        <v>1912</v>
      </c>
      <c r="G428" s="9">
        <f t="shared" si="12"/>
        <v>3</v>
      </c>
      <c r="H428" s="8" t="s">
        <v>31</v>
      </c>
      <c r="I428" s="9">
        <v>0</v>
      </c>
      <c r="J428" s="8" t="s">
        <v>770</v>
      </c>
      <c r="K428" s="11" t="s">
        <v>807</v>
      </c>
    </row>
    <row r="429" spans="1:11" x14ac:dyDescent="0.35">
      <c r="A429" s="8" t="s">
        <v>537</v>
      </c>
      <c r="B429" s="8" t="s">
        <v>470</v>
      </c>
      <c r="C429" s="9">
        <v>56.623038999999999</v>
      </c>
      <c r="D429" s="9">
        <v>-6.0641040000000004</v>
      </c>
      <c r="E429" s="8">
        <v>1977</v>
      </c>
      <c r="F429" s="8">
        <v>1978</v>
      </c>
      <c r="G429" s="9">
        <f t="shared" si="12"/>
        <v>2</v>
      </c>
      <c r="H429" s="8" t="s">
        <v>31</v>
      </c>
      <c r="I429" s="9">
        <v>0</v>
      </c>
      <c r="J429" s="8" t="s">
        <v>770</v>
      </c>
      <c r="K429" s="11" t="s">
        <v>807</v>
      </c>
    </row>
    <row r="430" spans="1:11" x14ac:dyDescent="0.35">
      <c r="A430" s="8" t="s">
        <v>752</v>
      </c>
      <c r="B430" s="8" t="s">
        <v>470</v>
      </c>
      <c r="C430" s="9">
        <v>50.712569999999999</v>
      </c>
      <c r="D430" s="9">
        <v>-2.0217809999999998</v>
      </c>
      <c r="E430" s="8">
        <v>1980</v>
      </c>
      <c r="F430" s="8">
        <v>1981</v>
      </c>
      <c r="G430" s="9">
        <f t="shared" si="12"/>
        <v>1.3333333333333335</v>
      </c>
      <c r="H430" s="8" t="s">
        <v>753</v>
      </c>
      <c r="I430" s="9">
        <f>2/3</f>
        <v>0.66666666666666663</v>
      </c>
      <c r="J430" s="8" t="s">
        <v>799</v>
      </c>
      <c r="K430" s="11" t="s">
        <v>810</v>
      </c>
    </row>
    <row r="431" spans="1:11" x14ac:dyDescent="0.35">
      <c r="A431" s="8" t="s">
        <v>770</v>
      </c>
      <c r="B431" s="8" t="s">
        <v>470</v>
      </c>
      <c r="C431" s="8" t="s">
        <v>770</v>
      </c>
      <c r="D431" s="8" t="s">
        <v>770</v>
      </c>
      <c r="E431" s="8">
        <v>1947</v>
      </c>
      <c r="F431" s="8">
        <v>1956</v>
      </c>
      <c r="G431" s="9">
        <f t="shared" si="12"/>
        <v>4.3141025641025639</v>
      </c>
      <c r="H431" s="8" t="s">
        <v>754</v>
      </c>
      <c r="I431" s="9">
        <f>0.75+0.5+(1/52)+0.5+0.5+0.25+0.75+(11/12)+1+0.5</f>
        <v>5.6858974358974361</v>
      </c>
      <c r="J431" s="8" t="s">
        <v>799</v>
      </c>
      <c r="K431" s="20" t="s">
        <v>811</v>
      </c>
    </row>
    <row r="432" spans="1:11" x14ac:dyDescent="0.35">
      <c r="A432" s="8" t="s">
        <v>755</v>
      </c>
      <c r="B432" s="8" t="s">
        <v>470</v>
      </c>
      <c r="C432" s="9">
        <v>50.723708000000002</v>
      </c>
      <c r="D432" s="9">
        <v>-1.9924059999999999</v>
      </c>
      <c r="E432" s="8">
        <v>1980</v>
      </c>
      <c r="F432" s="8">
        <v>1981</v>
      </c>
      <c r="G432" s="9">
        <f t="shared" si="12"/>
        <v>1.3333333333333333</v>
      </c>
      <c r="H432" s="8" t="s">
        <v>756</v>
      </c>
      <c r="I432" s="9">
        <f>(5/12)+(0.25)</f>
        <v>0.66666666666666674</v>
      </c>
      <c r="J432" s="8" t="s">
        <v>799</v>
      </c>
      <c r="K432" s="20" t="s">
        <v>811</v>
      </c>
    </row>
    <row r="433" spans="1:11" x14ac:dyDescent="0.35">
      <c r="A433" s="8" t="s">
        <v>757</v>
      </c>
      <c r="B433" s="8" t="s">
        <v>470</v>
      </c>
      <c r="C433" s="9">
        <v>51.842799999999997</v>
      </c>
      <c r="D433" s="9">
        <v>1.2817000000000001</v>
      </c>
      <c r="E433" s="8">
        <v>1967</v>
      </c>
      <c r="F433" s="8">
        <v>1996</v>
      </c>
      <c r="G433" s="9">
        <f t="shared" si="12"/>
        <v>30</v>
      </c>
      <c r="H433" s="8" t="s">
        <v>31</v>
      </c>
      <c r="I433" s="9">
        <v>0</v>
      </c>
      <c r="J433" s="8" t="s">
        <v>799</v>
      </c>
      <c r="K433" s="20" t="s">
        <v>811</v>
      </c>
    </row>
    <row r="434" spans="1:11" x14ac:dyDescent="0.35">
      <c r="A434" s="8" t="s">
        <v>758</v>
      </c>
      <c r="B434" s="8" t="s">
        <v>470</v>
      </c>
      <c r="C434" s="9">
        <v>51.391399999999997</v>
      </c>
      <c r="D434" s="9">
        <v>1.3796999999999999</v>
      </c>
      <c r="E434" s="8">
        <v>1970</v>
      </c>
      <c r="F434" s="8">
        <v>1997</v>
      </c>
      <c r="G434" s="9">
        <f t="shared" si="12"/>
        <v>28</v>
      </c>
      <c r="H434" s="8" t="s">
        <v>31</v>
      </c>
      <c r="I434" s="9">
        <v>0</v>
      </c>
      <c r="J434" s="8" t="s">
        <v>799</v>
      </c>
      <c r="K434" s="20" t="s">
        <v>812</v>
      </c>
    </row>
    <row r="435" spans="1:11" x14ac:dyDescent="0.35">
      <c r="A435" s="8" t="s">
        <v>759</v>
      </c>
      <c r="B435" s="8" t="s">
        <v>470</v>
      </c>
      <c r="C435" s="9">
        <v>51.472299999999997</v>
      </c>
      <c r="D435" s="9">
        <v>1.1081000000000001</v>
      </c>
      <c r="E435" s="8">
        <v>1964</v>
      </c>
      <c r="F435" s="8">
        <v>1988</v>
      </c>
      <c r="G435" s="9">
        <f t="shared" si="12"/>
        <v>25</v>
      </c>
      <c r="H435" s="8" t="s">
        <v>31</v>
      </c>
      <c r="I435" s="9">
        <v>0</v>
      </c>
      <c r="J435" s="8" t="s">
        <v>799</v>
      </c>
      <c r="K435" s="20" t="s">
        <v>812</v>
      </c>
    </row>
    <row r="436" spans="1:11" x14ac:dyDescent="0.35">
      <c r="A436" s="8" t="s">
        <v>760</v>
      </c>
      <c r="B436" s="8" t="s">
        <v>470</v>
      </c>
      <c r="C436" s="9">
        <v>51.5139</v>
      </c>
      <c r="D436" s="9">
        <v>0.72550000000000003</v>
      </c>
      <c r="E436" s="8">
        <v>1929</v>
      </c>
      <c r="F436" s="8">
        <v>1997</v>
      </c>
      <c r="G436" s="9">
        <f t="shared" si="12"/>
        <v>69</v>
      </c>
      <c r="H436" s="8" t="s">
        <v>31</v>
      </c>
      <c r="I436" s="9">
        <v>0</v>
      </c>
      <c r="J436" s="8" t="s">
        <v>799</v>
      </c>
      <c r="K436" s="20" t="s">
        <v>812</v>
      </c>
    </row>
    <row r="437" spans="1:11" x14ac:dyDescent="0.35">
      <c r="A437" s="8" t="s">
        <v>761</v>
      </c>
      <c r="B437" s="8" t="s">
        <v>470</v>
      </c>
      <c r="C437" s="9">
        <v>51.504100000000001</v>
      </c>
      <c r="D437" s="9">
        <v>0.50680000000000003</v>
      </c>
      <c r="E437" s="8">
        <v>1969</v>
      </c>
      <c r="F437" s="8">
        <v>1983</v>
      </c>
      <c r="G437" s="9">
        <f t="shared" si="12"/>
        <v>15</v>
      </c>
      <c r="H437" s="8" t="s">
        <v>31</v>
      </c>
      <c r="I437" s="9">
        <v>0</v>
      </c>
      <c r="J437" s="8" t="s">
        <v>799</v>
      </c>
      <c r="K437" s="20" t="s">
        <v>812</v>
      </c>
    </row>
    <row r="438" spans="1:11" x14ac:dyDescent="0.35">
      <c r="A438" s="8" t="s">
        <v>762</v>
      </c>
      <c r="B438" s="8" t="s">
        <v>470</v>
      </c>
      <c r="C438" s="9">
        <v>51.456200000000003</v>
      </c>
      <c r="D438" s="9">
        <v>0.33679999999999999</v>
      </c>
      <c r="E438" s="8">
        <v>1929</v>
      </c>
      <c r="F438" s="8">
        <v>1989</v>
      </c>
      <c r="G438" s="9">
        <f t="shared" si="12"/>
        <v>61</v>
      </c>
      <c r="H438" s="8" t="s">
        <v>31</v>
      </c>
      <c r="I438" s="9">
        <v>0</v>
      </c>
      <c r="J438" s="8" t="s">
        <v>799</v>
      </c>
      <c r="K438" s="20" t="s">
        <v>812</v>
      </c>
    </row>
    <row r="439" spans="1:11" x14ac:dyDescent="0.35">
      <c r="A439" s="8" t="s">
        <v>763</v>
      </c>
      <c r="B439" s="8" t="s">
        <v>470</v>
      </c>
      <c r="C439" s="9">
        <v>51.506900000000002</v>
      </c>
      <c r="D439" s="9">
        <v>5.1799999999999999E-2</v>
      </c>
      <c r="E439" s="8">
        <v>1950</v>
      </c>
      <c r="F439" s="8">
        <v>1990</v>
      </c>
      <c r="G439" s="9">
        <f t="shared" si="12"/>
        <v>41</v>
      </c>
      <c r="H439" s="8" t="s">
        <v>31</v>
      </c>
      <c r="I439" s="9">
        <v>0</v>
      </c>
      <c r="J439" s="8" t="s">
        <v>799</v>
      </c>
      <c r="K439" s="20" t="s">
        <v>812</v>
      </c>
    </row>
    <row r="440" spans="1:11" x14ac:dyDescent="0.35">
      <c r="A440" s="8" t="s">
        <v>821</v>
      </c>
      <c r="B440" s="8" t="s">
        <v>470</v>
      </c>
      <c r="C440" s="9">
        <v>51.498199999999997</v>
      </c>
      <c r="D440" s="9">
        <v>4.7800000000000002E-2</v>
      </c>
      <c r="E440" s="8">
        <v>1950</v>
      </c>
      <c r="F440" s="8">
        <v>1990</v>
      </c>
      <c r="G440" s="9">
        <f t="shared" si="12"/>
        <v>41</v>
      </c>
      <c r="H440" s="8" t="s">
        <v>31</v>
      </c>
      <c r="I440" s="9">
        <v>0</v>
      </c>
      <c r="J440" s="8" t="s">
        <v>799</v>
      </c>
      <c r="K440" s="20" t="s">
        <v>812</v>
      </c>
    </row>
    <row r="441" spans="1:11" x14ac:dyDescent="0.35">
      <c r="A441" s="8" t="s">
        <v>764</v>
      </c>
      <c r="B441" s="8" t="s">
        <v>470</v>
      </c>
      <c r="C441" s="9">
        <v>51.506999999999998</v>
      </c>
      <c r="D441" s="9">
        <v>-7.7499999999999999E-2</v>
      </c>
      <c r="E441" s="8">
        <v>1929</v>
      </c>
      <c r="F441" s="8">
        <v>1997</v>
      </c>
      <c r="G441" s="9">
        <f t="shared" si="12"/>
        <v>69</v>
      </c>
      <c r="H441" s="8" t="s">
        <v>31</v>
      </c>
      <c r="I441" s="9">
        <v>0</v>
      </c>
      <c r="J441" s="8" t="s">
        <v>799</v>
      </c>
      <c r="K441" s="20" t="s">
        <v>812</v>
      </c>
    </row>
    <row r="442" spans="1:11" x14ac:dyDescent="0.35">
      <c r="A442" s="8" t="s">
        <v>765</v>
      </c>
      <c r="B442" s="8" t="s">
        <v>470</v>
      </c>
      <c r="C442" s="9">
        <v>51.507199999999997</v>
      </c>
      <c r="D442" s="9">
        <v>-9.1899999999999996E-2</v>
      </c>
      <c r="E442" s="8">
        <v>1929</v>
      </c>
      <c r="F442" s="8">
        <v>1997</v>
      </c>
      <c r="G442" s="9">
        <f t="shared" si="12"/>
        <v>69</v>
      </c>
      <c r="H442" s="8" t="s">
        <v>31</v>
      </c>
      <c r="I442" s="9">
        <v>0</v>
      </c>
      <c r="J442" s="8" t="s">
        <v>799</v>
      </c>
      <c r="K442" s="20" t="s">
        <v>812</v>
      </c>
    </row>
    <row r="443" spans="1:11" x14ac:dyDescent="0.35">
      <c r="A443" s="8" t="s">
        <v>635</v>
      </c>
      <c r="B443" s="8" t="s">
        <v>470</v>
      </c>
      <c r="C443" s="9">
        <v>51.462299999999999</v>
      </c>
      <c r="D443" s="9">
        <v>-0.31590000000000001</v>
      </c>
      <c r="E443" s="8">
        <v>1962</v>
      </c>
      <c r="F443" s="8">
        <v>1997</v>
      </c>
      <c r="G443" s="9">
        <f t="shared" si="12"/>
        <v>36</v>
      </c>
      <c r="H443" s="8" t="s">
        <v>31</v>
      </c>
      <c r="I443" s="9">
        <v>0</v>
      </c>
      <c r="J443" s="8" t="s">
        <v>799</v>
      </c>
      <c r="K443" s="20" t="s">
        <v>812</v>
      </c>
    </row>
    <row r="444" spans="1:11" x14ac:dyDescent="0.35">
      <c r="A444" s="8" t="s">
        <v>783</v>
      </c>
      <c r="B444" s="8" t="s">
        <v>470</v>
      </c>
      <c r="C444" s="9">
        <v>55.893051999999997</v>
      </c>
      <c r="D444" s="9">
        <v>-4.4018449999999998</v>
      </c>
      <c r="E444" s="8">
        <v>1890</v>
      </c>
      <c r="F444" s="8">
        <v>1972</v>
      </c>
      <c r="G444" s="9">
        <f t="shared" si="12"/>
        <v>79.400000000000006</v>
      </c>
      <c r="H444" s="9" t="s">
        <v>770</v>
      </c>
      <c r="I444" s="9">
        <v>3.6</v>
      </c>
      <c r="J444" s="8" t="s">
        <v>799</v>
      </c>
      <c r="K444" s="8" t="s">
        <v>802</v>
      </c>
    </row>
    <row r="445" spans="1:11" x14ac:dyDescent="0.35">
      <c r="A445" s="8" t="s">
        <v>784</v>
      </c>
      <c r="B445" s="8" t="s">
        <v>470</v>
      </c>
      <c r="C445" s="9">
        <v>55.929366000000002</v>
      </c>
      <c r="D445" s="9">
        <v>-4.4836320000000001</v>
      </c>
      <c r="E445" s="8">
        <v>1888</v>
      </c>
      <c r="F445" s="8">
        <v>1952</v>
      </c>
      <c r="G445" s="9">
        <f t="shared" si="12"/>
        <v>43.3</v>
      </c>
      <c r="H445" s="9" t="s">
        <v>770</v>
      </c>
      <c r="I445" s="9">
        <v>21.7</v>
      </c>
      <c r="J445" s="8" t="s">
        <v>799</v>
      </c>
      <c r="K445" s="8" t="s">
        <v>802</v>
      </c>
    </row>
    <row r="446" spans="1:11" x14ac:dyDescent="0.35">
      <c r="A446" s="8" t="s">
        <v>785</v>
      </c>
      <c r="B446" s="8" t="s">
        <v>470</v>
      </c>
      <c r="C446" s="9">
        <v>55.893051999999997</v>
      </c>
      <c r="D446" s="9">
        <v>-4.4018449999999998</v>
      </c>
      <c r="E446" s="8">
        <v>1908</v>
      </c>
      <c r="F446" s="8">
        <v>1972</v>
      </c>
      <c r="G446" s="9">
        <f t="shared" si="12"/>
        <v>62.3</v>
      </c>
      <c r="H446" s="9" t="s">
        <v>770</v>
      </c>
      <c r="I446" s="9">
        <v>2.7</v>
      </c>
      <c r="J446" s="8" t="s">
        <v>799</v>
      </c>
      <c r="K446" s="8" t="s">
        <v>802</v>
      </c>
    </row>
    <row r="447" spans="1:11" x14ac:dyDescent="0.35">
      <c r="A447" s="8" t="s">
        <v>786</v>
      </c>
      <c r="B447" s="8" t="s">
        <v>470</v>
      </c>
      <c r="C447" s="9">
        <v>55.961213000000001</v>
      </c>
      <c r="D447" s="9">
        <v>-4.8149480000000002</v>
      </c>
      <c r="E447" s="8">
        <v>1922</v>
      </c>
      <c r="F447" s="8">
        <v>1966</v>
      </c>
      <c r="G447" s="9">
        <f t="shared" si="12"/>
        <v>45</v>
      </c>
      <c r="H447" s="9" t="s">
        <v>770</v>
      </c>
      <c r="I447" s="9">
        <v>0</v>
      </c>
      <c r="J447" s="8" t="s">
        <v>799</v>
      </c>
      <c r="K447" s="8" t="s">
        <v>802</v>
      </c>
    </row>
    <row r="448" spans="1:11" x14ac:dyDescent="0.35">
      <c r="A448" s="8" t="s">
        <v>787</v>
      </c>
      <c r="B448" s="8" t="s">
        <v>470</v>
      </c>
      <c r="C448" s="9">
        <v>55.861075999999997</v>
      </c>
      <c r="D448" s="9">
        <v>-4.2890560000000004</v>
      </c>
      <c r="E448" s="8">
        <v>1883</v>
      </c>
      <c r="F448" s="8">
        <v>1890</v>
      </c>
      <c r="G448" s="9">
        <f t="shared" si="12"/>
        <v>8</v>
      </c>
      <c r="H448" s="9" t="s">
        <v>770</v>
      </c>
      <c r="I448" s="9">
        <v>0</v>
      </c>
      <c r="J448" s="8" t="s">
        <v>799</v>
      </c>
      <c r="K448" s="8" t="s">
        <v>802</v>
      </c>
    </row>
    <row r="449" spans="1:11" x14ac:dyDescent="0.35">
      <c r="A449" s="8" t="s">
        <v>788</v>
      </c>
      <c r="B449" s="8" t="s">
        <v>470</v>
      </c>
      <c r="C449" s="9">
        <v>55.861293000000003</v>
      </c>
      <c r="D449" s="9">
        <v>-4.300611</v>
      </c>
      <c r="E449" s="8">
        <v>1906</v>
      </c>
      <c r="F449" s="8">
        <v>1966</v>
      </c>
      <c r="G449" s="9">
        <f t="shared" si="12"/>
        <v>55.8</v>
      </c>
      <c r="H449" s="9" t="s">
        <v>770</v>
      </c>
      <c r="I449" s="9">
        <v>5.2</v>
      </c>
      <c r="J449" s="8" t="s">
        <v>799</v>
      </c>
      <c r="K449" s="8" t="s">
        <v>802</v>
      </c>
    </row>
    <row r="450" spans="1:11" x14ac:dyDescent="0.35">
      <c r="A450" s="8" t="s">
        <v>789</v>
      </c>
      <c r="B450" s="8" t="s">
        <v>470</v>
      </c>
      <c r="C450" s="9">
        <v>55.864634000000002</v>
      </c>
      <c r="D450" s="9">
        <v>-4.3073589999999999</v>
      </c>
      <c r="E450" s="8">
        <v>1903</v>
      </c>
      <c r="F450" s="8">
        <v>1906</v>
      </c>
      <c r="G450" s="9">
        <f t="shared" si="12"/>
        <v>4</v>
      </c>
      <c r="H450" s="9" t="s">
        <v>770</v>
      </c>
      <c r="I450" s="9">
        <v>0</v>
      </c>
      <c r="J450" s="8" t="s">
        <v>799</v>
      </c>
      <c r="K450" s="8" t="s">
        <v>802</v>
      </c>
    </row>
    <row r="451" spans="1:11" x14ac:dyDescent="0.35">
      <c r="A451" s="8" t="s">
        <v>790</v>
      </c>
      <c r="B451" s="8" t="s">
        <v>470</v>
      </c>
      <c r="C451" s="9">
        <v>55.885345999999998</v>
      </c>
      <c r="D451" s="9">
        <v>-4.3826219999999996</v>
      </c>
      <c r="E451" s="8">
        <v>1891</v>
      </c>
      <c r="F451" s="8">
        <v>1910</v>
      </c>
      <c r="G451" s="9">
        <f t="shared" si="12"/>
        <v>13</v>
      </c>
      <c r="H451" s="9" t="s">
        <v>770</v>
      </c>
      <c r="I451" s="9">
        <v>7</v>
      </c>
      <c r="J451" s="8" t="s">
        <v>799</v>
      </c>
      <c r="K451" s="8" t="s">
        <v>802</v>
      </c>
    </row>
    <row r="452" spans="1:11" x14ac:dyDescent="0.35">
      <c r="A452" s="8" t="s">
        <v>791</v>
      </c>
      <c r="B452" s="8" t="s">
        <v>470</v>
      </c>
      <c r="C452" s="9">
        <v>55.907170000000001</v>
      </c>
      <c r="D452" s="9">
        <v>-4.4400430000000002</v>
      </c>
      <c r="E452" s="8">
        <v>1899</v>
      </c>
      <c r="F452" s="8">
        <v>1907</v>
      </c>
      <c r="G452" s="9">
        <f t="shared" si="12"/>
        <v>9</v>
      </c>
      <c r="H452" s="9" t="s">
        <v>770</v>
      </c>
      <c r="I452" s="9">
        <v>0</v>
      </c>
      <c r="J452" s="8" t="s">
        <v>799</v>
      </c>
      <c r="K452" s="8" t="s">
        <v>802</v>
      </c>
    </row>
    <row r="453" spans="1:11" x14ac:dyDescent="0.35">
      <c r="A453" s="8" t="s">
        <v>792</v>
      </c>
      <c r="B453" s="8" t="s">
        <v>470</v>
      </c>
      <c r="C453" s="9">
        <v>55.943607999999998</v>
      </c>
      <c r="D453" s="9">
        <v>-4.7171469999999998</v>
      </c>
      <c r="E453" s="8">
        <v>1906</v>
      </c>
      <c r="F453" s="8">
        <v>1921</v>
      </c>
      <c r="G453" s="9">
        <f t="shared" si="12"/>
        <v>16</v>
      </c>
      <c r="H453" s="9" t="s">
        <v>770</v>
      </c>
      <c r="I453" s="9">
        <v>0</v>
      </c>
      <c r="J453" s="8" t="s">
        <v>799</v>
      </c>
      <c r="K453" s="8" t="s">
        <v>802</v>
      </c>
    </row>
    <row r="454" spans="1:11" x14ac:dyDescent="0.35">
      <c r="A454" s="8" t="s">
        <v>783</v>
      </c>
      <c r="B454" s="8" t="s">
        <v>470</v>
      </c>
      <c r="C454" s="9">
        <v>55.893051999999997</v>
      </c>
      <c r="D454" s="9">
        <v>-4.4018449999999998</v>
      </c>
      <c r="E454" s="8">
        <v>1895</v>
      </c>
      <c r="F454" s="8">
        <v>1982</v>
      </c>
      <c r="G454" s="9">
        <f t="shared" si="12"/>
        <v>54.4</v>
      </c>
      <c r="H454" s="9" t="s">
        <v>770</v>
      </c>
      <c r="I454" s="9">
        <v>33.6</v>
      </c>
      <c r="J454" s="8" t="s">
        <v>798</v>
      </c>
      <c r="K454" s="8" t="s">
        <v>802</v>
      </c>
    </row>
    <row r="455" spans="1:11" x14ac:dyDescent="0.35">
      <c r="A455" s="8" t="s">
        <v>788</v>
      </c>
      <c r="B455" s="8" t="s">
        <v>470</v>
      </c>
      <c r="C455" s="9">
        <v>55.861293000000003</v>
      </c>
      <c r="D455" s="9">
        <v>-4.300611</v>
      </c>
      <c r="E455" s="8">
        <v>1906</v>
      </c>
      <c r="F455" s="8">
        <v>1966</v>
      </c>
      <c r="G455" s="9">
        <f t="shared" si="12"/>
        <v>56.2</v>
      </c>
      <c r="H455" s="9" t="s">
        <v>770</v>
      </c>
      <c r="I455" s="9">
        <v>4.8</v>
      </c>
      <c r="J455" s="8" t="s">
        <v>798</v>
      </c>
      <c r="K455" s="8" t="s">
        <v>802</v>
      </c>
    </row>
    <row r="456" spans="1:11" x14ac:dyDescent="0.35">
      <c r="A456" s="8" t="s">
        <v>789</v>
      </c>
      <c r="B456" s="8" t="s">
        <v>470</v>
      </c>
      <c r="C456" s="9">
        <v>55.864634000000002</v>
      </c>
      <c r="D456" s="9">
        <v>-4.3073589999999999</v>
      </c>
      <c r="E456" s="8">
        <v>1895</v>
      </c>
      <c r="F456" s="8">
        <v>1906</v>
      </c>
      <c r="G456" s="9">
        <f t="shared" si="12"/>
        <v>7</v>
      </c>
      <c r="H456" s="9" t="s">
        <v>770</v>
      </c>
      <c r="I456" s="9">
        <v>5</v>
      </c>
      <c r="J456" s="8" t="s">
        <v>798</v>
      </c>
      <c r="K456" s="8" t="s">
        <v>802</v>
      </c>
    </row>
    <row r="457" spans="1:11" x14ac:dyDescent="0.35">
      <c r="A457" s="8" t="s">
        <v>785</v>
      </c>
      <c r="B457" s="8" t="s">
        <v>470</v>
      </c>
      <c r="C457" s="9">
        <v>55.893051999999997</v>
      </c>
      <c r="D457" s="9">
        <v>-4.4018449999999998</v>
      </c>
      <c r="E457" s="8">
        <v>1859</v>
      </c>
      <c r="F457" s="8">
        <v>1982</v>
      </c>
      <c r="G457" s="9">
        <f t="shared" si="12"/>
        <v>31.799999999999997</v>
      </c>
      <c r="H457" s="9" t="s">
        <v>770</v>
      </c>
      <c r="I457" s="9">
        <v>92.2</v>
      </c>
      <c r="J457" s="8" t="s">
        <v>798</v>
      </c>
      <c r="K457" s="8" t="s">
        <v>802</v>
      </c>
    </row>
    <row r="458" spans="1:11" x14ac:dyDescent="0.35">
      <c r="A458" s="8" t="s">
        <v>791</v>
      </c>
      <c r="B458" s="8" t="s">
        <v>470</v>
      </c>
      <c r="C458" s="9">
        <v>55.907170000000001</v>
      </c>
      <c r="D458" s="9">
        <v>-4.4400430000000002</v>
      </c>
      <c r="E458" s="8">
        <v>1866</v>
      </c>
      <c r="F458" s="8">
        <v>1906</v>
      </c>
      <c r="G458" s="9">
        <f t="shared" si="12"/>
        <v>10</v>
      </c>
      <c r="H458" s="9" t="s">
        <v>770</v>
      </c>
      <c r="I458" s="9">
        <v>31</v>
      </c>
      <c r="J458" s="8" t="s">
        <v>798</v>
      </c>
      <c r="K458" s="8" t="s">
        <v>802</v>
      </c>
    </row>
    <row r="459" spans="1:11" x14ac:dyDescent="0.35">
      <c r="A459" s="8" t="s">
        <v>784</v>
      </c>
      <c r="B459" s="8" t="s">
        <v>470</v>
      </c>
      <c r="C459" s="9">
        <v>55.929366000000002</v>
      </c>
      <c r="D459" s="9">
        <v>-4.4836320000000001</v>
      </c>
      <c r="E459" s="8">
        <v>1895</v>
      </c>
      <c r="F459" s="8">
        <v>1971</v>
      </c>
      <c r="G459" s="9">
        <f t="shared" si="12"/>
        <v>63</v>
      </c>
      <c r="H459" s="9" t="s">
        <v>770</v>
      </c>
      <c r="I459" s="9">
        <v>14</v>
      </c>
      <c r="J459" s="8" t="s">
        <v>798</v>
      </c>
      <c r="K459" s="8" t="s">
        <v>802</v>
      </c>
    </row>
    <row r="460" spans="1:11" x14ac:dyDescent="0.35">
      <c r="A460" s="8" t="s">
        <v>793</v>
      </c>
      <c r="B460" s="8" t="s">
        <v>470</v>
      </c>
      <c r="C460" s="9">
        <v>55.933619999999998</v>
      </c>
      <c r="D460" s="9">
        <v>-4.5358299999999998</v>
      </c>
      <c r="E460" s="8">
        <v>1859</v>
      </c>
      <c r="F460" s="8">
        <v>1881</v>
      </c>
      <c r="G460" s="9">
        <f t="shared" si="12"/>
        <v>20</v>
      </c>
      <c r="H460" s="9" t="s">
        <v>770</v>
      </c>
      <c r="I460" s="9">
        <v>3</v>
      </c>
      <c r="J460" s="8" t="s">
        <v>798</v>
      </c>
      <c r="K460" s="8" t="s">
        <v>802</v>
      </c>
    </row>
    <row r="461" spans="1:11" x14ac:dyDescent="0.35">
      <c r="A461" s="8" t="s">
        <v>794</v>
      </c>
      <c r="B461" s="8" t="s">
        <v>470</v>
      </c>
      <c r="C461" s="9">
        <v>55.946007999999999</v>
      </c>
      <c r="D461" s="9">
        <v>-4.6103949999999996</v>
      </c>
      <c r="E461" s="8">
        <v>1859</v>
      </c>
      <c r="F461" s="8">
        <v>1881</v>
      </c>
      <c r="G461" s="9">
        <f t="shared" si="12"/>
        <v>21</v>
      </c>
      <c r="H461" s="9" t="s">
        <v>770</v>
      </c>
      <c r="I461" s="9">
        <v>2</v>
      </c>
      <c r="J461" s="8" t="s">
        <v>798</v>
      </c>
      <c r="K461" s="8" t="s">
        <v>802</v>
      </c>
    </row>
    <row r="462" spans="1:11" x14ac:dyDescent="0.35">
      <c r="A462" s="8" t="s">
        <v>795</v>
      </c>
      <c r="B462" s="8" t="s">
        <v>470</v>
      </c>
      <c r="C462" s="9">
        <v>55.960340000000002</v>
      </c>
      <c r="D462" s="9">
        <v>-4.653289</v>
      </c>
      <c r="E462" s="8">
        <v>1859</v>
      </c>
      <c r="F462" s="8">
        <v>1881</v>
      </c>
      <c r="G462" s="9">
        <f t="shared" si="12"/>
        <v>21</v>
      </c>
      <c r="H462" s="9" t="s">
        <v>770</v>
      </c>
      <c r="I462" s="9">
        <v>2</v>
      </c>
      <c r="J462" s="8" t="s">
        <v>798</v>
      </c>
      <c r="K462" s="8" t="s">
        <v>802</v>
      </c>
    </row>
    <row r="463" spans="1:11" x14ac:dyDescent="0.35">
      <c r="A463" s="8" t="s">
        <v>792</v>
      </c>
      <c r="B463" s="8" t="s">
        <v>470</v>
      </c>
      <c r="C463" s="9">
        <v>55.943607999999998</v>
      </c>
      <c r="D463" s="9">
        <v>-4.7171469999999998</v>
      </c>
      <c r="E463" s="8">
        <v>1908</v>
      </c>
      <c r="F463" s="8">
        <v>1980</v>
      </c>
      <c r="G463" s="9">
        <f t="shared" si="12"/>
        <v>15</v>
      </c>
      <c r="H463" s="9" t="s">
        <v>770</v>
      </c>
      <c r="I463" s="9">
        <v>58</v>
      </c>
      <c r="J463" s="8" t="s">
        <v>798</v>
      </c>
      <c r="K463" s="8" t="s">
        <v>802</v>
      </c>
    </row>
    <row r="464" spans="1:11" x14ac:dyDescent="0.35">
      <c r="A464" s="8" t="s">
        <v>796</v>
      </c>
      <c r="B464" s="8" t="s">
        <v>470</v>
      </c>
      <c r="C464" s="9">
        <v>55.937263000000002</v>
      </c>
      <c r="D464" s="9">
        <v>-4.691141</v>
      </c>
      <c r="E464" s="8">
        <v>1895</v>
      </c>
      <c r="F464" s="8">
        <v>1906</v>
      </c>
      <c r="G464" s="9">
        <f t="shared" si="12"/>
        <v>6</v>
      </c>
      <c r="H464" s="9" t="s">
        <v>770</v>
      </c>
      <c r="I464" s="9">
        <v>6</v>
      </c>
      <c r="J464" s="8" t="s">
        <v>798</v>
      </c>
      <c r="K464" s="8" t="s">
        <v>802</v>
      </c>
    </row>
    <row r="465" spans="1:11" x14ac:dyDescent="0.35">
      <c r="A465" s="8" t="s">
        <v>786</v>
      </c>
      <c r="B465" s="8" t="s">
        <v>470</v>
      </c>
      <c r="C465" s="9">
        <v>55.961213000000001</v>
      </c>
      <c r="D465" s="9">
        <v>-4.8149480000000002</v>
      </c>
      <c r="E465" s="8">
        <v>1922</v>
      </c>
      <c r="F465" s="8">
        <v>1974</v>
      </c>
      <c r="G465" s="9">
        <f t="shared" si="12"/>
        <v>53</v>
      </c>
      <c r="H465" s="9" t="s">
        <v>770</v>
      </c>
      <c r="I465" s="9">
        <v>0</v>
      </c>
      <c r="J465" s="8" t="s">
        <v>798</v>
      </c>
      <c r="K465" s="8" t="s">
        <v>802</v>
      </c>
    </row>
    <row r="466" spans="1:11" x14ac:dyDescent="0.35">
      <c r="A466" s="8" t="s">
        <v>797</v>
      </c>
      <c r="B466" s="8" t="s">
        <v>470</v>
      </c>
      <c r="C466" s="9" t="s">
        <v>770</v>
      </c>
      <c r="D466" s="9" t="s">
        <v>770</v>
      </c>
      <c r="E466" s="8">
        <v>1859</v>
      </c>
      <c r="F466" s="8">
        <v>1878</v>
      </c>
      <c r="G466" s="9">
        <f t="shared" si="12"/>
        <v>19</v>
      </c>
      <c r="H466" s="9" t="s">
        <v>770</v>
      </c>
      <c r="I466" s="9">
        <v>1</v>
      </c>
      <c r="J466" s="8" t="s">
        <v>798</v>
      </c>
      <c r="K466" s="8" t="s">
        <v>802</v>
      </c>
    </row>
    <row r="467" spans="1:11" x14ac:dyDescent="0.35">
      <c r="A467" s="8" t="s">
        <v>498</v>
      </c>
      <c r="B467" s="8" t="s">
        <v>499</v>
      </c>
      <c r="C467" s="9">
        <v>24.139654</v>
      </c>
      <c r="D467" s="9">
        <v>52.749681000000002</v>
      </c>
      <c r="E467" s="8">
        <v>1968</v>
      </c>
      <c r="F467" s="8">
        <v>1980</v>
      </c>
      <c r="G467" s="9">
        <f t="shared" si="12"/>
        <v>13</v>
      </c>
      <c r="H467" s="8" t="s">
        <v>31</v>
      </c>
      <c r="I467" s="9">
        <v>0</v>
      </c>
      <c r="J467" s="8" t="s">
        <v>770</v>
      </c>
      <c r="K467" s="11" t="s">
        <v>807</v>
      </c>
    </row>
    <row r="468" spans="1:11" x14ac:dyDescent="0.35">
      <c r="A468" s="8" t="s">
        <v>241</v>
      </c>
      <c r="B468" s="8" t="s">
        <v>770</v>
      </c>
      <c r="C468" s="4">
        <v>35.955260000000003</v>
      </c>
      <c r="D468" s="4">
        <v>-3.4097200000000001</v>
      </c>
      <c r="E468" s="8">
        <v>1961</v>
      </c>
      <c r="F468" s="8">
        <v>1962</v>
      </c>
      <c r="G468" s="9">
        <f t="shared" si="12"/>
        <v>2</v>
      </c>
      <c r="H468" s="8" t="s">
        <v>31</v>
      </c>
      <c r="I468" s="9">
        <v>0</v>
      </c>
      <c r="J468" s="8" t="s">
        <v>798</v>
      </c>
      <c r="K468" s="11" t="s">
        <v>806</v>
      </c>
    </row>
    <row r="469" spans="1:11" x14ac:dyDescent="0.35">
      <c r="A469" s="12" t="s">
        <v>449</v>
      </c>
      <c r="B469" s="12" t="s">
        <v>450</v>
      </c>
      <c r="C469" s="9">
        <v>37.002716999999997</v>
      </c>
      <c r="D469" s="9">
        <v>-76.314700999999999</v>
      </c>
      <c r="E469" s="8">
        <v>1853</v>
      </c>
      <c r="F469" s="8">
        <v>1853</v>
      </c>
      <c r="G469" s="9">
        <f t="shared" si="12"/>
        <v>1</v>
      </c>
      <c r="H469" s="8" t="s">
        <v>31</v>
      </c>
      <c r="I469" s="9">
        <v>0</v>
      </c>
      <c r="J469" s="8" t="s">
        <v>799</v>
      </c>
      <c r="K469" s="11" t="s">
        <v>806</v>
      </c>
    </row>
    <row r="470" spans="1:11" x14ac:dyDescent="0.35">
      <c r="A470" s="12" t="s">
        <v>451</v>
      </c>
      <c r="B470" s="12" t="s">
        <v>450</v>
      </c>
      <c r="C470" s="4">
        <v>43.071621</v>
      </c>
      <c r="D470" s="4">
        <v>-70.710682000000006</v>
      </c>
      <c r="E470" s="8">
        <v>1853</v>
      </c>
      <c r="F470" s="8">
        <v>1853</v>
      </c>
      <c r="G470" s="9">
        <f t="shared" si="12"/>
        <v>1</v>
      </c>
      <c r="H470" s="8" t="s">
        <v>31</v>
      </c>
      <c r="I470" s="9">
        <v>0</v>
      </c>
      <c r="J470" s="8" t="s">
        <v>799</v>
      </c>
      <c r="K470" s="11" t="s">
        <v>806</v>
      </c>
    </row>
    <row r="471" spans="1:11" x14ac:dyDescent="0.35">
      <c r="A471" s="8" t="s">
        <v>576</v>
      </c>
      <c r="B471" s="8" t="s">
        <v>450</v>
      </c>
      <c r="C471" s="9">
        <v>44.906295999999998</v>
      </c>
      <c r="D471" s="9">
        <v>-66.983535000000003</v>
      </c>
      <c r="E471" s="8">
        <v>1860</v>
      </c>
      <c r="F471" s="8">
        <v>1918</v>
      </c>
      <c r="G471" s="9">
        <f t="shared" si="12"/>
        <v>2</v>
      </c>
      <c r="H471" s="8" t="s">
        <v>577</v>
      </c>
      <c r="I471" s="9">
        <v>57</v>
      </c>
      <c r="J471" s="8" t="s">
        <v>770</v>
      </c>
      <c r="K471" s="11" t="s">
        <v>807</v>
      </c>
    </row>
    <row r="472" spans="1:11" x14ac:dyDescent="0.35">
      <c r="A472" s="8" t="s">
        <v>578</v>
      </c>
      <c r="B472" s="8" t="s">
        <v>450</v>
      </c>
      <c r="C472" s="9">
        <v>44.156320000000001</v>
      </c>
      <c r="D472" s="9">
        <v>-68.886155000000002</v>
      </c>
      <c r="E472" s="8">
        <v>1888</v>
      </c>
      <c r="F472" s="8">
        <v>1888</v>
      </c>
      <c r="G472" s="9">
        <f t="shared" si="12"/>
        <v>1</v>
      </c>
      <c r="H472" s="8" t="s">
        <v>31</v>
      </c>
      <c r="I472" s="9">
        <v>0</v>
      </c>
      <c r="J472" s="8" t="s">
        <v>770</v>
      </c>
      <c r="K472" s="11" t="s">
        <v>807</v>
      </c>
    </row>
    <row r="473" spans="1:11" x14ac:dyDescent="0.35">
      <c r="A473" s="8" t="s">
        <v>579</v>
      </c>
      <c r="B473" s="8" t="s">
        <v>450</v>
      </c>
      <c r="C473" s="9">
        <v>41.492260999999999</v>
      </c>
      <c r="D473" s="9">
        <v>-71.322287000000003</v>
      </c>
      <c r="E473" s="8">
        <v>1992</v>
      </c>
      <c r="F473" s="8">
        <v>1995</v>
      </c>
      <c r="G473" s="9">
        <f t="shared" ref="G473:G536" si="13">(1+(F473-E473))-I473</f>
        <v>4</v>
      </c>
      <c r="H473" s="8" t="s">
        <v>31</v>
      </c>
      <c r="I473" s="9">
        <v>0</v>
      </c>
      <c r="J473" s="8" t="s">
        <v>770</v>
      </c>
      <c r="K473" s="11" t="s">
        <v>807</v>
      </c>
    </row>
    <row r="474" spans="1:11" x14ac:dyDescent="0.35">
      <c r="A474" s="8" t="s">
        <v>580</v>
      </c>
      <c r="B474" s="8" t="s">
        <v>450</v>
      </c>
      <c r="C474" s="9">
        <v>40.620520999999997</v>
      </c>
      <c r="D474" s="9">
        <v>-74.041629</v>
      </c>
      <c r="E474" s="8">
        <v>1927</v>
      </c>
      <c r="F474" s="8">
        <v>1936</v>
      </c>
      <c r="G474" s="9">
        <f t="shared" si="13"/>
        <v>10</v>
      </c>
      <c r="H474" s="8" t="s">
        <v>31</v>
      </c>
      <c r="I474" s="9">
        <v>0</v>
      </c>
      <c r="J474" s="8" t="s">
        <v>770</v>
      </c>
      <c r="K474" s="11" t="s">
        <v>807</v>
      </c>
    </row>
    <row r="475" spans="1:11" x14ac:dyDescent="0.35">
      <c r="A475" s="8" t="s">
        <v>822</v>
      </c>
      <c r="B475" s="8" t="s">
        <v>450</v>
      </c>
      <c r="C475" s="9">
        <v>40.686377</v>
      </c>
      <c r="D475" s="9">
        <v>-74.016480000000001</v>
      </c>
      <c r="E475" s="8">
        <v>1837</v>
      </c>
      <c r="F475" s="8">
        <v>1886</v>
      </c>
      <c r="G475" s="9">
        <f t="shared" si="13"/>
        <v>31</v>
      </c>
      <c r="H475" s="8" t="s">
        <v>581</v>
      </c>
      <c r="I475" s="9">
        <v>19</v>
      </c>
      <c r="J475" s="8" t="s">
        <v>770</v>
      </c>
      <c r="K475" s="11" t="s">
        <v>807</v>
      </c>
    </row>
    <row r="476" spans="1:11" x14ac:dyDescent="0.35">
      <c r="A476" s="8" t="s">
        <v>582</v>
      </c>
      <c r="B476" s="8" t="s">
        <v>450</v>
      </c>
      <c r="C476" s="9">
        <v>40.765928000000002</v>
      </c>
      <c r="D476" s="9">
        <v>-73.841913000000005</v>
      </c>
      <c r="E476" s="8">
        <v>1885</v>
      </c>
      <c r="F476" s="8">
        <v>1896</v>
      </c>
      <c r="G476" s="9">
        <f t="shared" si="13"/>
        <v>7</v>
      </c>
      <c r="H476" s="8" t="s">
        <v>583</v>
      </c>
      <c r="I476" s="9">
        <v>5</v>
      </c>
      <c r="J476" s="8" t="s">
        <v>770</v>
      </c>
      <c r="K476" s="11" t="s">
        <v>807</v>
      </c>
    </row>
    <row r="477" spans="1:11" x14ac:dyDescent="0.35">
      <c r="A477" s="8" t="s">
        <v>584</v>
      </c>
      <c r="B477" s="8" t="s">
        <v>450</v>
      </c>
      <c r="C477" s="9">
        <v>40.466757000000001</v>
      </c>
      <c r="D477" s="9">
        <v>-74.008958000000007</v>
      </c>
      <c r="E477" s="8">
        <v>1835</v>
      </c>
      <c r="F477" s="8">
        <v>1839</v>
      </c>
      <c r="G477" s="9">
        <f t="shared" si="13"/>
        <v>5</v>
      </c>
      <c r="H477" s="8" t="s">
        <v>31</v>
      </c>
      <c r="I477" s="9">
        <v>0</v>
      </c>
      <c r="J477" s="8" t="s">
        <v>770</v>
      </c>
      <c r="K477" s="11" t="s">
        <v>807</v>
      </c>
    </row>
    <row r="478" spans="1:11" x14ac:dyDescent="0.35">
      <c r="A478" s="8" t="s">
        <v>585</v>
      </c>
      <c r="B478" s="8" t="s">
        <v>450</v>
      </c>
      <c r="C478" s="9">
        <v>39.373033</v>
      </c>
      <c r="D478" s="9">
        <v>-74.426278999999994</v>
      </c>
      <c r="E478" s="8">
        <v>1911</v>
      </c>
      <c r="F478" s="8">
        <v>1939</v>
      </c>
      <c r="G478" s="9">
        <f t="shared" si="13"/>
        <v>29</v>
      </c>
      <c r="H478" s="8" t="s">
        <v>31</v>
      </c>
      <c r="I478" s="9">
        <v>0</v>
      </c>
      <c r="J478" s="8" t="s">
        <v>770</v>
      </c>
      <c r="K478" s="11" t="s">
        <v>807</v>
      </c>
    </row>
    <row r="479" spans="1:11" x14ac:dyDescent="0.35">
      <c r="A479" s="8" t="s">
        <v>586</v>
      </c>
      <c r="B479" s="8" t="s">
        <v>450</v>
      </c>
      <c r="C479" s="9">
        <v>39.931564000000002</v>
      </c>
      <c r="D479" s="9">
        <v>-75.132150999999993</v>
      </c>
      <c r="E479" s="8">
        <v>1890</v>
      </c>
      <c r="F479" s="8">
        <v>1937</v>
      </c>
      <c r="G479" s="9">
        <f t="shared" si="13"/>
        <v>48</v>
      </c>
      <c r="H479" s="8" t="s">
        <v>31</v>
      </c>
      <c r="I479" s="9">
        <v>0</v>
      </c>
      <c r="J479" s="8" t="s">
        <v>770</v>
      </c>
      <c r="K479" s="11" t="s">
        <v>807</v>
      </c>
    </row>
    <row r="480" spans="1:11" x14ac:dyDescent="0.35">
      <c r="A480" s="8" t="s">
        <v>587</v>
      </c>
      <c r="B480" s="8" t="s">
        <v>450</v>
      </c>
      <c r="C480" s="9">
        <v>39.283406999999997</v>
      </c>
      <c r="D480" s="9">
        <v>-76.605091000000002</v>
      </c>
      <c r="E480" s="8">
        <v>1845</v>
      </c>
      <c r="F480" s="8">
        <v>1899</v>
      </c>
      <c r="G480" s="9">
        <v>11</v>
      </c>
      <c r="H480" s="8" t="s">
        <v>588</v>
      </c>
      <c r="I480" s="9">
        <f>(1+(F480-E480))-G480</f>
        <v>44</v>
      </c>
      <c r="J480" s="8" t="s">
        <v>770</v>
      </c>
      <c r="K480" s="11" t="s">
        <v>807</v>
      </c>
    </row>
    <row r="481" spans="1:11" x14ac:dyDescent="0.35">
      <c r="A481" s="8" t="s">
        <v>589</v>
      </c>
      <c r="B481" s="8" t="s">
        <v>450</v>
      </c>
      <c r="C481" s="9">
        <v>38.976235000000003</v>
      </c>
      <c r="D481" s="9">
        <v>-76.484798999999995</v>
      </c>
      <c r="E481" s="8">
        <v>1853</v>
      </c>
      <c r="F481" s="8">
        <v>1870</v>
      </c>
      <c r="G481" s="9">
        <v>2</v>
      </c>
      <c r="H481" s="8" t="s">
        <v>590</v>
      </c>
      <c r="I481" s="9">
        <f>(1+(F481-E481))-G481</f>
        <v>16</v>
      </c>
      <c r="J481" s="8" t="s">
        <v>770</v>
      </c>
      <c r="K481" s="11" t="s">
        <v>807</v>
      </c>
    </row>
    <row r="482" spans="1:11" x14ac:dyDescent="0.35">
      <c r="A482" s="8" t="s">
        <v>449</v>
      </c>
      <c r="B482" s="8" t="s">
        <v>450</v>
      </c>
      <c r="C482" s="9">
        <v>37.002716999999997</v>
      </c>
      <c r="D482" s="9">
        <v>-76.314700999999999</v>
      </c>
      <c r="E482" s="8">
        <v>1906</v>
      </c>
      <c r="F482" s="8">
        <v>1910</v>
      </c>
      <c r="G482" s="9">
        <f t="shared" ref="G482:G513" si="14">(1+(F482-E482))-I482</f>
        <v>5</v>
      </c>
      <c r="H482" s="8" t="s">
        <v>31</v>
      </c>
      <c r="I482" s="9">
        <v>0</v>
      </c>
      <c r="J482" s="8" t="s">
        <v>770</v>
      </c>
      <c r="K482" s="11" t="s">
        <v>807</v>
      </c>
    </row>
    <row r="483" spans="1:11" x14ac:dyDescent="0.35">
      <c r="A483" s="8" t="s">
        <v>591</v>
      </c>
      <c r="B483" s="8" t="s">
        <v>450</v>
      </c>
      <c r="C483" s="9">
        <v>34.226624999999999</v>
      </c>
      <c r="D483" s="9">
        <v>-77.953998999999996</v>
      </c>
      <c r="E483" s="8">
        <v>1882</v>
      </c>
      <c r="F483" s="8">
        <v>1882</v>
      </c>
      <c r="G483" s="9">
        <f t="shared" si="14"/>
        <v>1</v>
      </c>
      <c r="H483" s="8" t="s">
        <v>31</v>
      </c>
      <c r="I483" s="9">
        <v>0</v>
      </c>
      <c r="J483" s="8" t="s">
        <v>770</v>
      </c>
      <c r="K483" s="11" t="s">
        <v>807</v>
      </c>
    </row>
    <row r="484" spans="1:11" x14ac:dyDescent="0.35">
      <c r="A484" s="8" t="s">
        <v>592</v>
      </c>
      <c r="B484" s="8" t="s">
        <v>450</v>
      </c>
      <c r="C484" s="9">
        <v>32.775075000000001</v>
      </c>
      <c r="D484" s="9">
        <v>-79.924066999999994</v>
      </c>
      <c r="E484" s="8">
        <v>1850</v>
      </c>
      <c r="F484" s="8">
        <v>1913</v>
      </c>
      <c r="G484" s="9">
        <f t="shared" si="14"/>
        <v>41</v>
      </c>
      <c r="H484" s="8" t="s">
        <v>593</v>
      </c>
      <c r="I484" s="9">
        <v>23</v>
      </c>
      <c r="J484" s="8" t="s">
        <v>770</v>
      </c>
      <c r="K484" s="11" t="s">
        <v>807</v>
      </c>
    </row>
    <row r="485" spans="1:11" x14ac:dyDescent="0.35">
      <c r="A485" s="8" t="s">
        <v>594</v>
      </c>
      <c r="B485" s="8" t="s">
        <v>450</v>
      </c>
      <c r="C485" s="9">
        <v>32.034858</v>
      </c>
      <c r="D485" s="9">
        <v>-80.906603000000004</v>
      </c>
      <c r="E485" s="8">
        <v>1851</v>
      </c>
      <c r="F485" s="8">
        <v>1852</v>
      </c>
      <c r="G485" s="9">
        <f t="shared" si="14"/>
        <v>2</v>
      </c>
      <c r="H485" s="8" t="s">
        <v>31</v>
      </c>
      <c r="I485" s="9">
        <v>0</v>
      </c>
      <c r="J485" s="8" t="s">
        <v>770</v>
      </c>
      <c r="K485" s="11" t="s">
        <v>807</v>
      </c>
    </row>
    <row r="486" spans="1:11" x14ac:dyDescent="0.35">
      <c r="A486" s="8" t="s">
        <v>595</v>
      </c>
      <c r="B486" s="8" t="s">
        <v>450</v>
      </c>
      <c r="C486" s="9">
        <v>30.670556000000001</v>
      </c>
      <c r="D486" s="9">
        <v>-81.465361000000001</v>
      </c>
      <c r="E486" s="8">
        <v>1855</v>
      </c>
      <c r="F486" s="8">
        <v>1879</v>
      </c>
      <c r="G486" s="9">
        <f t="shared" si="14"/>
        <v>6</v>
      </c>
      <c r="H486" s="8" t="s">
        <v>596</v>
      </c>
      <c r="I486" s="9">
        <v>19</v>
      </c>
      <c r="J486" s="8" t="s">
        <v>770</v>
      </c>
      <c r="K486" s="11" t="s">
        <v>807</v>
      </c>
    </row>
    <row r="487" spans="1:11" x14ac:dyDescent="0.35">
      <c r="A487" s="8" t="s">
        <v>597</v>
      </c>
      <c r="B487" s="8" t="s">
        <v>450</v>
      </c>
      <c r="C487" s="9">
        <v>30.396298000000002</v>
      </c>
      <c r="D487" s="9">
        <v>-81.429591000000002</v>
      </c>
      <c r="E487" s="8">
        <v>1899</v>
      </c>
      <c r="F487" s="8">
        <v>1939</v>
      </c>
      <c r="G487" s="9">
        <f t="shared" si="14"/>
        <v>41</v>
      </c>
      <c r="H487" s="8" t="s">
        <v>31</v>
      </c>
      <c r="I487" s="9">
        <v>0</v>
      </c>
      <c r="J487" s="8" t="s">
        <v>770</v>
      </c>
      <c r="K487" s="11" t="s">
        <v>807</v>
      </c>
    </row>
    <row r="488" spans="1:11" x14ac:dyDescent="0.35">
      <c r="A488" s="8" t="s">
        <v>598</v>
      </c>
      <c r="B488" s="8" t="s">
        <v>450</v>
      </c>
      <c r="C488" s="9">
        <v>30.402259999999998</v>
      </c>
      <c r="D488" s="9">
        <v>-87.212906000000004</v>
      </c>
      <c r="E488" s="8">
        <v>1890</v>
      </c>
      <c r="F488" s="8">
        <v>1939</v>
      </c>
      <c r="G488" s="9">
        <f t="shared" si="14"/>
        <v>50</v>
      </c>
      <c r="H488" s="8" t="s">
        <v>31</v>
      </c>
      <c r="I488" s="9">
        <v>0</v>
      </c>
      <c r="J488" s="8" t="s">
        <v>770</v>
      </c>
      <c r="K488" s="11" t="s">
        <v>807</v>
      </c>
    </row>
    <row r="489" spans="1:11" x14ac:dyDescent="0.35">
      <c r="A489" s="8" t="s">
        <v>599</v>
      </c>
      <c r="B489" s="8" t="s">
        <v>450</v>
      </c>
      <c r="C489" s="9">
        <v>30.232344999999999</v>
      </c>
      <c r="D489" s="9">
        <v>-88.017762000000005</v>
      </c>
      <c r="E489" s="8">
        <v>1846</v>
      </c>
      <c r="F489" s="8">
        <v>1920</v>
      </c>
      <c r="G489" s="9">
        <f t="shared" si="14"/>
        <v>3</v>
      </c>
      <c r="H489" s="8" t="s">
        <v>600</v>
      </c>
      <c r="I489" s="9">
        <v>72</v>
      </c>
      <c r="J489" s="8" t="s">
        <v>770</v>
      </c>
      <c r="K489" s="11" t="s">
        <v>807</v>
      </c>
    </row>
    <row r="490" spans="1:11" x14ac:dyDescent="0.35">
      <c r="A490" s="8" t="s">
        <v>601</v>
      </c>
      <c r="B490" s="8" t="s">
        <v>450</v>
      </c>
      <c r="C490" s="9">
        <v>29.317703000000002</v>
      </c>
      <c r="D490" s="9">
        <v>-94.780940999999999</v>
      </c>
      <c r="E490" s="8">
        <v>1852</v>
      </c>
      <c r="F490" s="8">
        <v>1939</v>
      </c>
      <c r="G490" s="9">
        <f t="shared" si="14"/>
        <v>88</v>
      </c>
      <c r="H490" s="8" t="s">
        <v>31</v>
      </c>
      <c r="I490" s="9">
        <v>0</v>
      </c>
      <c r="J490" s="8" t="s">
        <v>770</v>
      </c>
      <c r="K490" s="11" t="s">
        <v>807</v>
      </c>
    </row>
    <row r="491" spans="1:11" x14ac:dyDescent="0.35">
      <c r="A491" s="8" t="s">
        <v>602</v>
      </c>
      <c r="B491" s="8" t="s">
        <v>450</v>
      </c>
      <c r="C491" s="9">
        <v>32.866976000000001</v>
      </c>
      <c r="D491" s="9">
        <v>-117.257187</v>
      </c>
      <c r="E491" s="8">
        <v>1924</v>
      </c>
      <c r="F491" s="8">
        <v>1939</v>
      </c>
      <c r="G491" s="9">
        <f t="shared" si="14"/>
        <v>16</v>
      </c>
      <c r="H491" s="8" t="s">
        <v>31</v>
      </c>
      <c r="I491" s="9">
        <v>0</v>
      </c>
      <c r="J491" s="8" t="s">
        <v>770</v>
      </c>
      <c r="K491" s="11" t="s">
        <v>807</v>
      </c>
    </row>
    <row r="492" spans="1:11" x14ac:dyDescent="0.35">
      <c r="A492" s="8" t="s">
        <v>603</v>
      </c>
      <c r="B492" s="8" t="s">
        <v>450</v>
      </c>
      <c r="C492" s="9">
        <v>33.76596</v>
      </c>
      <c r="D492" s="9">
        <v>-118.262243</v>
      </c>
      <c r="E492" s="8">
        <v>1852</v>
      </c>
      <c r="F492" s="8">
        <v>1937</v>
      </c>
      <c r="G492" s="9">
        <f t="shared" si="14"/>
        <v>86</v>
      </c>
      <c r="H492" s="8" t="s">
        <v>31</v>
      </c>
      <c r="I492" s="9">
        <v>0</v>
      </c>
      <c r="J492" s="8" t="s">
        <v>770</v>
      </c>
      <c r="K492" s="11" t="s">
        <v>807</v>
      </c>
    </row>
    <row r="493" spans="1:11" x14ac:dyDescent="0.35">
      <c r="A493" s="8" t="s">
        <v>604</v>
      </c>
      <c r="B493" s="8" t="s">
        <v>450</v>
      </c>
      <c r="C493" s="9">
        <v>37.810412999999997</v>
      </c>
      <c r="D493" s="9">
        <v>-122.42451</v>
      </c>
      <c r="E493" s="8">
        <v>1853</v>
      </c>
      <c r="F493" s="8">
        <v>1853</v>
      </c>
      <c r="G493" s="9">
        <f t="shared" si="14"/>
        <v>1</v>
      </c>
      <c r="H493" s="8" t="s">
        <v>31</v>
      </c>
      <c r="I493" s="9">
        <v>0</v>
      </c>
      <c r="J493" s="8" t="s">
        <v>799</v>
      </c>
      <c r="K493" s="11" t="s">
        <v>807</v>
      </c>
    </row>
    <row r="494" spans="1:11" x14ac:dyDescent="0.35">
      <c r="A494" s="8" t="s">
        <v>605</v>
      </c>
      <c r="B494" s="8" t="s">
        <v>450</v>
      </c>
      <c r="C494" s="9">
        <v>37.859475000000003</v>
      </c>
      <c r="D494" s="9">
        <v>-122.478611</v>
      </c>
      <c r="E494" s="8">
        <v>1851</v>
      </c>
      <c r="F494" s="8">
        <v>1870</v>
      </c>
      <c r="G494" s="9">
        <f t="shared" si="14"/>
        <v>20</v>
      </c>
      <c r="H494" s="8" t="s">
        <v>31</v>
      </c>
      <c r="I494" s="9">
        <v>0</v>
      </c>
      <c r="J494" s="8" t="s">
        <v>770</v>
      </c>
      <c r="K494" s="11" t="s">
        <v>807</v>
      </c>
    </row>
    <row r="495" spans="1:11" x14ac:dyDescent="0.35">
      <c r="A495" s="8" t="s">
        <v>606</v>
      </c>
      <c r="B495" s="8" t="s">
        <v>450</v>
      </c>
      <c r="C495" s="9">
        <v>48.107424999999999</v>
      </c>
      <c r="D495" s="9">
        <v>-122.771916</v>
      </c>
      <c r="E495" s="8">
        <v>1941</v>
      </c>
      <c r="F495" s="8">
        <v>1941</v>
      </c>
      <c r="G495" s="9">
        <f t="shared" si="14"/>
        <v>1</v>
      </c>
      <c r="H495" s="8" t="s">
        <v>31</v>
      </c>
      <c r="I495" s="9">
        <v>0</v>
      </c>
      <c r="J495" s="8" t="s">
        <v>770</v>
      </c>
      <c r="K495" s="11" t="s">
        <v>807</v>
      </c>
    </row>
    <row r="496" spans="1:11" x14ac:dyDescent="0.35">
      <c r="A496" s="8" t="s">
        <v>607</v>
      </c>
      <c r="B496" s="8" t="s">
        <v>450</v>
      </c>
      <c r="C496" s="9">
        <v>47.555959999999999</v>
      </c>
      <c r="D496" s="9">
        <v>-122.341669</v>
      </c>
      <c r="E496" s="8">
        <v>1891</v>
      </c>
      <c r="F496" s="8">
        <v>1892</v>
      </c>
      <c r="G496" s="9">
        <f t="shared" si="14"/>
        <v>2</v>
      </c>
      <c r="H496" s="8" t="s">
        <v>31</v>
      </c>
      <c r="I496" s="9">
        <v>0</v>
      </c>
      <c r="J496" s="8" t="s">
        <v>770</v>
      </c>
      <c r="K496" s="11" t="s">
        <v>807</v>
      </c>
    </row>
    <row r="497" spans="1:11" x14ac:dyDescent="0.35">
      <c r="A497" s="8" t="s">
        <v>608</v>
      </c>
      <c r="B497" s="8" t="s">
        <v>450</v>
      </c>
      <c r="C497" s="9">
        <v>32.753414999999997</v>
      </c>
      <c r="D497" s="9">
        <v>-79.875202999999999</v>
      </c>
      <c r="E497" s="8">
        <v>1882</v>
      </c>
      <c r="F497" s="8">
        <v>1913</v>
      </c>
      <c r="G497" s="9">
        <f t="shared" si="14"/>
        <v>28</v>
      </c>
      <c r="H497" s="8" t="s">
        <v>609</v>
      </c>
      <c r="I497" s="9">
        <v>4</v>
      </c>
      <c r="J497" s="8" t="s">
        <v>770</v>
      </c>
      <c r="K497" s="11" t="s">
        <v>807</v>
      </c>
    </row>
    <row r="498" spans="1:11" x14ac:dyDescent="0.35">
      <c r="A498" s="8" t="s">
        <v>610</v>
      </c>
      <c r="B498" s="8" t="s">
        <v>450</v>
      </c>
      <c r="C498" s="9">
        <v>37.806322999999999</v>
      </c>
      <c r="D498" s="9">
        <v>-122.465957</v>
      </c>
      <c r="E498" s="8">
        <v>1858</v>
      </c>
      <c r="F498" s="8">
        <v>1925</v>
      </c>
      <c r="G498" s="9">
        <f t="shared" si="14"/>
        <v>29</v>
      </c>
      <c r="H498" s="8" t="s">
        <v>611</v>
      </c>
      <c r="I498" s="9">
        <v>39</v>
      </c>
      <c r="J498" s="8" t="s">
        <v>770</v>
      </c>
      <c r="K498" s="11" t="s">
        <v>807</v>
      </c>
    </row>
    <row r="499" spans="1:11" x14ac:dyDescent="0.35">
      <c r="A499" s="8" t="s">
        <v>612</v>
      </c>
      <c r="B499" s="8" t="s">
        <v>450</v>
      </c>
      <c r="C499" s="9">
        <v>57.798819999999999</v>
      </c>
      <c r="D499" s="9">
        <v>-152.371917</v>
      </c>
      <c r="E499" s="8">
        <v>1880</v>
      </c>
      <c r="F499" s="8">
        <v>1891</v>
      </c>
      <c r="G499" s="9">
        <f t="shared" si="14"/>
        <v>12</v>
      </c>
      <c r="H499" s="8" t="s">
        <v>31</v>
      </c>
      <c r="I499" s="9">
        <v>0</v>
      </c>
      <c r="J499" s="8" t="s">
        <v>770</v>
      </c>
      <c r="K499" s="11" t="s">
        <v>807</v>
      </c>
    </row>
    <row r="500" spans="1:11" x14ac:dyDescent="0.35">
      <c r="A500" s="8" t="s">
        <v>613</v>
      </c>
      <c r="B500" s="8" t="s">
        <v>450</v>
      </c>
      <c r="C500" s="9">
        <v>18.463397000000001</v>
      </c>
      <c r="D500" s="9">
        <v>-66.107032000000004</v>
      </c>
      <c r="E500" s="8">
        <v>1892</v>
      </c>
      <c r="F500" s="8">
        <v>1899</v>
      </c>
      <c r="G500" s="9">
        <f t="shared" si="14"/>
        <v>7</v>
      </c>
      <c r="H500" s="8">
        <v>1898</v>
      </c>
      <c r="I500" s="9">
        <v>1</v>
      </c>
      <c r="J500" s="8" t="s">
        <v>770</v>
      </c>
      <c r="K500" s="11" t="s">
        <v>807</v>
      </c>
    </row>
    <row r="501" spans="1:11" x14ac:dyDescent="0.35">
      <c r="A501" s="8" t="s">
        <v>614</v>
      </c>
      <c r="B501" s="8" t="s">
        <v>450</v>
      </c>
      <c r="C501" s="9">
        <v>34.409681999999997</v>
      </c>
      <c r="D501" s="9">
        <v>-119.685767</v>
      </c>
      <c r="E501" s="8">
        <v>1931</v>
      </c>
      <c r="F501" s="8">
        <v>1935</v>
      </c>
      <c r="G501" s="9">
        <f t="shared" si="14"/>
        <v>5</v>
      </c>
      <c r="H501" s="8" t="s">
        <v>31</v>
      </c>
      <c r="I501" s="9">
        <v>0</v>
      </c>
      <c r="J501" s="8" t="s">
        <v>770</v>
      </c>
      <c r="K501" s="11" t="s">
        <v>807</v>
      </c>
    </row>
    <row r="502" spans="1:11" x14ac:dyDescent="0.35">
      <c r="A502" s="8" t="s">
        <v>615</v>
      </c>
      <c r="B502" s="8" t="s">
        <v>450</v>
      </c>
      <c r="C502" s="9">
        <v>48.536020999999998</v>
      </c>
      <c r="D502" s="9">
        <v>-123.014259</v>
      </c>
      <c r="E502" s="8">
        <v>1934</v>
      </c>
      <c r="F502" s="8">
        <v>1938</v>
      </c>
      <c r="G502" s="9">
        <f t="shared" si="14"/>
        <v>5</v>
      </c>
      <c r="H502" s="8" t="s">
        <v>31</v>
      </c>
      <c r="I502" s="9">
        <v>0</v>
      </c>
      <c r="J502" s="8" t="s">
        <v>770</v>
      </c>
      <c r="K502" s="11" t="s">
        <v>807</v>
      </c>
    </row>
    <row r="503" spans="1:11" x14ac:dyDescent="0.35">
      <c r="A503" s="8" t="s">
        <v>823</v>
      </c>
      <c r="B503" s="8" t="s">
        <v>450</v>
      </c>
      <c r="C503" s="9">
        <v>46.705112</v>
      </c>
      <c r="D503" s="9">
        <v>-123.96629299999999</v>
      </c>
      <c r="E503" s="8">
        <v>1935</v>
      </c>
      <c r="F503" s="8">
        <v>1938</v>
      </c>
      <c r="G503" s="9">
        <f t="shared" si="14"/>
        <v>4</v>
      </c>
      <c r="H503" s="8" t="s">
        <v>31</v>
      </c>
      <c r="I503" s="9">
        <v>0</v>
      </c>
      <c r="J503" s="8" t="s">
        <v>770</v>
      </c>
      <c r="K503" s="11" t="s">
        <v>807</v>
      </c>
    </row>
    <row r="504" spans="1:11" x14ac:dyDescent="0.35">
      <c r="A504" s="8" t="s">
        <v>604</v>
      </c>
      <c r="B504" s="8" t="s">
        <v>450</v>
      </c>
      <c r="C504" s="9">
        <v>37.810412999999997</v>
      </c>
      <c r="D504" s="9">
        <v>-122.42451</v>
      </c>
      <c r="E504" s="8">
        <v>1853</v>
      </c>
      <c r="F504" s="8">
        <v>1853</v>
      </c>
      <c r="G504" s="9">
        <f t="shared" si="14"/>
        <v>1</v>
      </c>
      <c r="H504" s="8" t="s">
        <v>31</v>
      </c>
      <c r="I504" s="9">
        <v>0</v>
      </c>
      <c r="J504" s="8" t="s">
        <v>770</v>
      </c>
      <c r="K504" s="11" t="s">
        <v>807</v>
      </c>
    </row>
    <row r="505" spans="1:11" x14ac:dyDescent="0.35">
      <c r="A505" s="8" t="s">
        <v>607</v>
      </c>
      <c r="B505" s="8" t="s">
        <v>450</v>
      </c>
      <c r="C505" s="9">
        <v>47.600962000000003</v>
      </c>
      <c r="D505" s="9">
        <v>-122.337642</v>
      </c>
      <c r="E505" s="8">
        <v>1891</v>
      </c>
      <c r="F505" s="8">
        <v>1892</v>
      </c>
      <c r="G505" s="9">
        <f t="shared" si="14"/>
        <v>2</v>
      </c>
      <c r="H505" s="8" t="s">
        <v>31</v>
      </c>
      <c r="I505" s="9">
        <v>0</v>
      </c>
      <c r="J505" s="8" t="s">
        <v>770</v>
      </c>
      <c r="K505" s="11" t="s">
        <v>807</v>
      </c>
    </row>
    <row r="506" spans="1:11" x14ac:dyDescent="0.35">
      <c r="A506" s="8" t="s">
        <v>522</v>
      </c>
      <c r="B506" s="8" t="s">
        <v>450</v>
      </c>
      <c r="C506" s="9">
        <v>43.072904999999999</v>
      </c>
      <c r="D506" s="9">
        <v>-70.750236999999998</v>
      </c>
      <c r="E506" s="8">
        <v>1926</v>
      </c>
      <c r="F506" s="8">
        <v>1957</v>
      </c>
      <c r="G506" s="9">
        <f t="shared" si="14"/>
        <v>32</v>
      </c>
      <c r="H506" s="8" t="s">
        <v>31</v>
      </c>
      <c r="I506" s="9">
        <v>0</v>
      </c>
      <c r="J506" s="8" t="s">
        <v>798</v>
      </c>
      <c r="K506" s="11" t="s">
        <v>809</v>
      </c>
    </row>
    <row r="507" spans="1:11" x14ac:dyDescent="0.35">
      <c r="A507" s="8" t="s">
        <v>623</v>
      </c>
      <c r="B507" s="8" t="s">
        <v>450</v>
      </c>
      <c r="C507" s="9">
        <v>42.520090000000003</v>
      </c>
      <c r="D507" s="9">
        <v>-70.886643000000007</v>
      </c>
      <c r="E507" s="8">
        <v>1828</v>
      </c>
      <c r="F507" s="8">
        <v>1829</v>
      </c>
      <c r="G507" s="9">
        <f t="shared" si="14"/>
        <v>2</v>
      </c>
      <c r="H507" s="8" t="s">
        <v>31</v>
      </c>
      <c r="I507" s="9">
        <v>0</v>
      </c>
      <c r="J507" s="8" t="s">
        <v>798</v>
      </c>
      <c r="K507" s="11" t="s">
        <v>809</v>
      </c>
    </row>
    <row r="508" spans="1:11" x14ac:dyDescent="0.35">
      <c r="A508" s="8" t="s">
        <v>624</v>
      </c>
      <c r="B508" s="8" t="s">
        <v>450</v>
      </c>
      <c r="C508" s="9">
        <v>41.486617000000003</v>
      </c>
      <c r="D508" s="9">
        <v>-71.317363</v>
      </c>
      <c r="E508" s="8">
        <v>1844</v>
      </c>
      <c r="F508" s="8">
        <v>1912</v>
      </c>
      <c r="G508" s="9">
        <f t="shared" si="14"/>
        <v>10</v>
      </c>
      <c r="H508" s="8" t="s">
        <v>625</v>
      </c>
      <c r="I508" s="9">
        <v>59</v>
      </c>
      <c r="J508" s="8" t="s">
        <v>798</v>
      </c>
      <c r="K508" s="11" t="s">
        <v>809</v>
      </c>
    </row>
    <row r="509" spans="1:11" x14ac:dyDescent="0.35">
      <c r="A509" s="8" t="s">
        <v>626</v>
      </c>
      <c r="B509" s="8" t="s">
        <v>450</v>
      </c>
      <c r="C509" s="9">
        <v>39.809157999999996</v>
      </c>
      <c r="D509" s="9">
        <v>-75.413331999999997</v>
      </c>
      <c r="E509" s="8">
        <v>1915</v>
      </c>
      <c r="F509" s="8">
        <v>1916</v>
      </c>
      <c r="G509" s="9">
        <f t="shared" si="14"/>
        <v>2</v>
      </c>
      <c r="H509" s="8" t="s">
        <v>31</v>
      </c>
      <c r="I509" s="9">
        <v>0</v>
      </c>
      <c r="J509" s="8" t="s">
        <v>798</v>
      </c>
      <c r="K509" s="11" t="s">
        <v>809</v>
      </c>
    </row>
    <row r="510" spans="1:11" x14ac:dyDescent="0.35">
      <c r="A510" s="8" t="s">
        <v>627</v>
      </c>
      <c r="B510" s="8" t="s">
        <v>450</v>
      </c>
      <c r="C510" s="9">
        <v>38.949210000000001</v>
      </c>
      <c r="D510" s="9">
        <v>-74.908389999999997</v>
      </c>
      <c r="E510" s="8">
        <v>1909</v>
      </c>
      <c r="F510" s="8">
        <v>1928</v>
      </c>
      <c r="G510" s="9">
        <f t="shared" si="14"/>
        <v>8</v>
      </c>
      <c r="H510" s="8" t="s">
        <v>628</v>
      </c>
      <c r="I510" s="9">
        <v>12</v>
      </c>
      <c r="J510" s="8" t="s">
        <v>798</v>
      </c>
      <c r="K510" s="11" t="s">
        <v>809</v>
      </c>
    </row>
    <row r="511" spans="1:11" x14ac:dyDescent="0.35">
      <c r="A511" s="8" t="s">
        <v>629</v>
      </c>
      <c r="B511" s="8" t="s">
        <v>450</v>
      </c>
      <c r="C511" s="9">
        <v>39.214494999999999</v>
      </c>
      <c r="D511" s="9">
        <v>-76.519929000000005</v>
      </c>
      <c r="E511" s="8">
        <v>1897</v>
      </c>
      <c r="F511" s="8">
        <v>1901</v>
      </c>
      <c r="G511" s="9">
        <f t="shared" si="14"/>
        <v>5</v>
      </c>
      <c r="H511" s="8" t="s">
        <v>31</v>
      </c>
      <c r="I511" s="9">
        <v>0</v>
      </c>
      <c r="J511" s="8" t="s">
        <v>798</v>
      </c>
      <c r="K511" s="11" t="s">
        <v>809</v>
      </c>
    </row>
    <row r="512" spans="1:11" x14ac:dyDescent="0.35">
      <c r="A512" s="8" t="s">
        <v>589</v>
      </c>
      <c r="B512" s="8" t="s">
        <v>450</v>
      </c>
      <c r="C512" s="9">
        <v>38.976235000000003</v>
      </c>
      <c r="D512" s="9">
        <v>-76.484798999999995</v>
      </c>
      <c r="E512" s="8">
        <v>1844</v>
      </c>
      <c r="F512" s="8">
        <v>1847</v>
      </c>
      <c r="G512" s="9">
        <f t="shared" si="14"/>
        <v>4</v>
      </c>
      <c r="H512" s="8" t="s">
        <v>31</v>
      </c>
      <c r="I512" s="9">
        <v>0</v>
      </c>
      <c r="J512" s="8" t="s">
        <v>798</v>
      </c>
      <c r="K512" s="11" t="s">
        <v>809</v>
      </c>
    </row>
    <row r="513" spans="1:11" x14ac:dyDescent="0.35">
      <c r="A513" s="8" t="s">
        <v>630</v>
      </c>
      <c r="B513" s="8" t="s">
        <v>450</v>
      </c>
      <c r="C513" s="9">
        <v>38.877392</v>
      </c>
      <c r="D513" s="9">
        <v>-77.024480999999994</v>
      </c>
      <c r="E513" s="8">
        <v>1858</v>
      </c>
      <c r="F513" s="8">
        <v>1902</v>
      </c>
      <c r="G513" s="9">
        <f t="shared" si="14"/>
        <v>13</v>
      </c>
      <c r="H513" s="8" t="s">
        <v>631</v>
      </c>
      <c r="I513" s="9">
        <v>32</v>
      </c>
      <c r="J513" s="8" t="s">
        <v>798</v>
      </c>
      <c r="K513" s="11" t="s">
        <v>809</v>
      </c>
    </row>
    <row r="514" spans="1:11" x14ac:dyDescent="0.35">
      <c r="A514" s="8" t="s">
        <v>632</v>
      </c>
      <c r="B514" s="8" t="s">
        <v>450</v>
      </c>
      <c r="C514" s="9">
        <v>38.805089000000002</v>
      </c>
      <c r="D514" s="9">
        <v>-77.038375000000002</v>
      </c>
      <c r="E514" s="8">
        <v>1913</v>
      </c>
      <c r="F514" s="8">
        <v>1915</v>
      </c>
      <c r="G514" s="9">
        <f t="shared" ref="G514:G545" si="15">(1+(F514-E514))-I514</f>
        <v>3</v>
      </c>
      <c r="H514" s="8" t="s">
        <v>31</v>
      </c>
      <c r="I514" s="9">
        <v>0</v>
      </c>
      <c r="J514" s="8" t="s">
        <v>798</v>
      </c>
      <c r="K514" s="11" t="s">
        <v>809</v>
      </c>
    </row>
    <row r="515" spans="1:11" x14ac:dyDescent="0.35">
      <c r="A515" s="8" t="s">
        <v>633</v>
      </c>
      <c r="B515" s="8" t="s">
        <v>450</v>
      </c>
      <c r="C515" s="9">
        <v>38.572584999999997</v>
      </c>
      <c r="D515" s="9">
        <v>-76.071652999999998</v>
      </c>
      <c r="E515" s="8">
        <v>1942</v>
      </c>
      <c r="F515" s="8">
        <v>1951</v>
      </c>
      <c r="G515" s="9">
        <f t="shared" si="15"/>
        <v>10</v>
      </c>
      <c r="H515" s="8" t="s">
        <v>31</v>
      </c>
      <c r="I515" s="9">
        <v>0</v>
      </c>
      <c r="J515" s="8" t="s">
        <v>798</v>
      </c>
      <c r="K515" s="11" t="s">
        <v>809</v>
      </c>
    </row>
    <row r="516" spans="1:11" x14ac:dyDescent="0.35">
      <c r="A516" s="8" t="s">
        <v>634</v>
      </c>
      <c r="B516" s="8" t="s">
        <v>450</v>
      </c>
      <c r="C516" s="9">
        <v>38.245162000000001</v>
      </c>
      <c r="D516" s="9">
        <v>-76.965311999999997</v>
      </c>
      <c r="E516" s="8">
        <v>1902</v>
      </c>
      <c r="F516" s="8">
        <v>1910</v>
      </c>
      <c r="G516" s="9">
        <f t="shared" si="15"/>
        <v>9</v>
      </c>
      <c r="H516" s="8" t="s">
        <v>31</v>
      </c>
      <c r="I516" s="9">
        <v>0</v>
      </c>
      <c r="J516" s="8" t="s">
        <v>798</v>
      </c>
      <c r="K516" s="11" t="s">
        <v>809</v>
      </c>
    </row>
    <row r="517" spans="1:11" x14ac:dyDescent="0.35">
      <c r="A517" s="8" t="s">
        <v>635</v>
      </c>
      <c r="B517" s="8" t="s">
        <v>450</v>
      </c>
      <c r="C517" s="9">
        <v>37.525306</v>
      </c>
      <c r="D517" s="9">
        <v>-77.42089</v>
      </c>
      <c r="E517" s="8">
        <v>1892</v>
      </c>
      <c r="F517" s="8">
        <v>1972</v>
      </c>
      <c r="G517" s="9">
        <f t="shared" si="15"/>
        <v>81</v>
      </c>
      <c r="H517" s="8" t="s">
        <v>31</v>
      </c>
      <c r="I517" s="9">
        <v>0</v>
      </c>
      <c r="J517" s="8" t="s">
        <v>798</v>
      </c>
      <c r="K517" s="11" t="s">
        <v>809</v>
      </c>
    </row>
    <row r="518" spans="1:11" x14ac:dyDescent="0.35">
      <c r="A518" s="8" t="s">
        <v>824</v>
      </c>
      <c r="B518" s="8" t="s">
        <v>450</v>
      </c>
      <c r="C518" s="9">
        <v>37.527935999999997</v>
      </c>
      <c r="D518" s="9">
        <v>-76.799764999999994</v>
      </c>
      <c r="E518" s="8">
        <v>1971</v>
      </c>
      <c r="F518" s="8">
        <v>1974</v>
      </c>
      <c r="G518" s="9">
        <f t="shared" si="15"/>
        <v>4</v>
      </c>
      <c r="H518" s="8" t="s">
        <v>31</v>
      </c>
      <c r="I518" s="9">
        <v>0</v>
      </c>
      <c r="J518" s="8" t="s">
        <v>798</v>
      </c>
      <c r="K518" s="11" t="s">
        <v>809</v>
      </c>
    </row>
    <row r="519" spans="1:11" x14ac:dyDescent="0.35">
      <c r="A519" s="8" t="s">
        <v>522</v>
      </c>
      <c r="B519" s="8" t="s">
        <v>450</v>
      </c>
      <c r="C519" s="9">
        <v>36.835588999999999</v>
      </c>
      <c r="D519" s="9">
        <v>-76.296228999999997</v>
      </c>
      <c r="E519" s="8">
        <v>1908</v>
      </c>
      <c r="F519" s="8">
        <v>1915</v>
      </c>
      <c r="G519" s="9">
        <f t="shared" si="15"/>
        <v>8</v>
      </c>
      <c r="H519" s="8" t="s">
        <v>31</v>
      </c>
      <c r="I519" s="9">
        <v>0</v>
      </c>
      <c r="J519" s="8" t="s">
        <v>798</v>
      </c>
      <c r="K519" s="11" t="s">
        <v>809</v>
      </c>
    </row>
    <row r="520" spans="1:11" x14ac:dyDescent="0.35">
      <c r="A520" s="8" t="s">
        <v>636</v>
      </c>
      <c r="B520" s="8" t="s">
        <v>450</v>
      </c>
      <c r="C520" s="9">
        <v>34.72681</v>
      </c>
      <c r="D520" s="9">
        <v>-76.731883999999994</v>
      </c>
      <c r="E520" s="8">
        <v>1952</v>
      </c>
      <c r="F520" s="8">
        <v>1963</v>
      </c>
      <c r="G520" s="9">
        <f t="shared" si="15"/>
        <v>12</v>
      </c>
      <c r="H520" s="8" t="s">
        <v>31</v>
      </c>
      <c r="I520" s="9">
        <v>0</v>
      </c>
      <c r="J520" s="8" t="s">
        <v>798</v>
      </c>
      <c r="K520" s="11" t="s">
        <v>809</v>
      </c>
    </row>
    <row r="521" spans="1:11" x14ac:dyDescent="0.35">
      <c r="A521" s="8" t="s">
        <v>637</v>
      </c>
      <c r="B521" s="8" t="s">
        <v>450</v>
      </c>
      <c r="C521" s="9">
        <v>34.6233</v>
      </c>
      <c r="D521" s="9">
        <v>-76.524968000000001</v>
      </c>
      <c r="E521" s="8">
        <v>1914</v>
      </c>
      <c r="F521" s="8">
        <v>1916</v>
      </c>
      <c r="G521" s="9">
        <f t="shared" si="15"/>
        <v>3</v>
      </c>
      <c r="H521" s="8" t="s">
        <v>31</v>
      </c>
      <c r="I521" s="9">
        <v>0</v>
      </c>
      <c r="J521" s="8" t="s">
        <v>798</v>
      </c>
      <c r="K521" s="11" t="s">
        <v>809</v>
      </c>
    </row>
    <row r="522" spans="1:11" x14ac:dyDescent="0.35">
      <c r="A522" s="8" t="s">
        <v>638</v>
      </c>
      <c r="B522" s="8" t="s">
        <v>450</v>
      </c>
      <c r="C522" s="9">
        <v>33.211163999999997</v>
      </c>
      <c r="D522" s="9">
        <v>-79.181213</v>
      </c>
      <c r="E522" s="8">
        <v>1899</v>
      </c>
      <c r="F522" s="8">
        <v>1934</v>
      </c>
      <c r="G522" s="9">
        <f t="shared" si="15"/>
        <v>27</v>
      </c>
      <c r="H522" s="8" t="s">
        <v>639</v>
      </c>
      <c r="I522" s="9">
        <v>9</v>
      </c>
      <c r="J522" s="8" t="s">
        <v>798</v>
      </c>
      <c r="K522" s="11" t="s">
        <v>809</v>
      </c>
    </row>
    <row r="523" spans="1:11" x14ac:dyDescent="0.35">
      <c r="A523" s="8" t="s">
        <v>640</v>
      </c>
      <c r="B523" s="8" t="s">
        <v>450</v>
      </c>
      <c r="C523" s="9">
        <v>32.371614999999998</v>
      </c>
      <c r="D523" s="9">
        <v>-80.691833000000003</v>
      </c>
      <c r="E523" s="8">
        <v>1892</v>
      </c>
      <c r="F523" s="8">
        <v>1897</v>
      </c>
      <c r="G523" s="9">
        <f t="shared" si="15"/>
        <v>2</v>
      </c>
      <c r="H523" s="8" t="s">
        <v>641</v>
      </c>
      <c r="I523" s="9">
        <v>4</v>
      </c>
      <c r="J523" s="8" t="s">
        <v>798</v>
      </c>
      <c r="K523" s="11" t="s">
        <v>809</v>
      </c>
    </row>
    <row r="524" spans="1:11" x14ac:dyDescent="0.35">
      <c r="A524" s="8" t="s">
        <v>642</v>
      </c>
      <c r="B524" s="8" t="s">
        <v>450</v>
      </c>
      <c r="C524" s="9">
        <v>32.081982000000004</v>
      </c>
      <c r="D524" s="9">
        <v>-81.037565000000001</v>
      </c>
      <c r="E524" s="8">
        <v>1903</v>
      </c>
      <c r="F524" s="8">
        <v>1957</v>
      </c>
      <c r="G524" s="9">
        <f t="shared" si="15"/>
        <v>55</v>
      </c>
      <c r="H524" s="8" t="s">
        <v>31</v>
      </c>
      <c r="I524" s="9">
        <v>0</v>
      </c>
      <c r="J524" s="8" t="s">
        <v>798</v>
      </c>
      <c r="K524" s="11" t="s">
        <v>809</v>
      </c>
    </row>
    <row r="525" spans="1:11" x14ac:dyDescent="0.35">
      <c r="A525" s="8" t="s">
        <v>643</v>
      </c>
      <c r="B525" s="8" t="s">
        <v>450</v>
      </c>
      <c r="C525" s="9">
        <v>32.034809000000003</v>
      </c>
      <c r="D525" s="9">
        <v>-80.906518000000005</v>
      </c>
      <c r="E525" s="8">
        <v>1889</v>
      </c>
      <c r="F525" s="8">
        <v>1892</v>
      </c>
      <c r="G525" s="9">
        <f t="shared" si="15"/>
        <v>4</v>
      </c>
      <c r="H525" s="8" t="s">
        <v>31</v>
      </c>
      <c r="I525" s="9">
        <v>0</v>
      </c>
      <c r="J525" s="8" t="s">
        <v>798</v>
      </c>
      <c r="K525" s="11" t="s">
        <v>809</v>
      </c>
    </row>
    <row r="526" spans="1:11" x14ac:dyDescent="0.35">
      <c r="A526" s="8" t="s">
        <v>644</v>
      </c>
      <c r="B526" s="8" t="s">
        <v>450</v>
      </c>
      <c r="C526" s="9">
        <v>30.701080999999999</v>
      </c>
      <c r="D526" s="9">
        <v>-81.460983999999996</v>
      </c>
      <c r="E526" s="8">
        <v>1856</v>
      </c>
      <c r="F526" s="8">
        <v>1878</v>
      </c>
      <c r="G526" s="9">
        <f t="shared" si="15"/>
        <v>8</v>
      </c>
      <c r="H526" s="8" t="s">
        <v>645</v>
      </c>
      <c r="I526" s="9">
        <v>15</v>
      </c>
      <c r="J526" s="8" t="s">
        <v>798</v>
      </c>
      <c r="K526" s="11" t="s">
        <v>809</v>
      </c>
    </row>
    <row r="527" spans="1:11" x14ac:dyDescent="0.35">
      <c r="A527" s="8" t="s">
        <v>646</v>
      </c>
      <c r="B527" s="8" t="s">
        <v>450</v>
      </c>
      <c r="C527" s="9">
        <v>30.396298000000002</v>
      </c>
      <c r="D527" s="9">
        <v>-81.429591000000002</v>
      </c>
      <c r="E527" s="8">
        <v>1892</v>
      </c>
      <c r="F527" s="8">
        <v>1898</v>
      </c>
      <c r="G527" s="9">
        <f t="shared" si="15"/>
        <v>4</v>
      </c>
      <c r="H527" s="8" t="s">
        <v>647</v>
      </c>
      <c r="I527" s="9">
        <v>3</v>
      </c>
      <c r="J527" s="8" t="s">
        <v>798</v>
      </c>
      <c r="K527" s="11" t="s">
        <v>809</v>
      </c>
    </row>
    <row r="528" spans="1:11" x14ac:dyDescent="0.35">
      <c r="A528" s="8" t="s">
        <v>648</v>
      </c>
      <c r="B528" s="8" t="s">
        <v>450</v>
      </c>
      <c r="C528" s="9">
        <v>29.883355000000002</v>
      </c>
      <c r="D528" s="9">
        <v>-81.306552999999994</v>
      </c>
      <c r="E528" s="8">
        <v>1892</v>
      </c>
      <c r="F528" s="8">
        <v>1918</v>
      </c>
      <c r="G528" s="9">
        <f t="shared" si="15"/>
        <v>17</v>
      </c>
      <c r="H528" s="8" t="s">
        <v>649</v>
      </c>
      <c r="I528" s="9">
        <v>10</v>
      </c>
      <c r="J528" s="8" t="s">
        <v>798</v>
      </c>
      <c r="K528" s="11" t="s">
        <v>809</v>
      </c>
    </row>
    <row r="529" spans="1:11" x14ac:dyDescent="0.35">
      <c r="A529" s="8" t="s">
        <v>650</v>
      </c>
      <c r="B529" s="8" t="s">
        <v>450</v>
      </c>
      <c r="C529" s="9">
        <v>29.225847000000002</v>
      </c>
      <c r="D529" s="9">
        <v>-81.022518000000005</v>
      </c>
      <c r="E529" s="8">
        <v>1925</v>
      </c>
      <c r="F529" s="8">
        <v>1950</v>
      </c>
      <c r="G529" s="9">
        <f t="shared" si="15"/>
        <v>21</v>
      </c>
      <c r="H529" s="8" t="s">
        <v>651</v>
      </c>
      <c r="I529" s="9">
        <v>5</v>
      </c>
      <c r="J529" s="8" t="s">
        <v>798</v>
      </c>
      <c r="K529" s="11" t="s">
        <v>809</v>
      </c>
    </row>
    <row r="530" spans="1:11" x14ac:dyDescent="0.35">
      <c r="A530" s="8" t="s">
        <v>652</v>
      </c>
      <c r="B530" s="8" t="s">
        <v>450</v>
      </c>
      <c r="C530" s="9">
        <v>24.549917000000001</v>
      </c>
      <c r="D530" s="9">
        <v>-81.810079000000002</v>
      </c>
      <c r="E530" s="8">
        <v>1851</v>
      </c>
      <c r="F530" s="8">
        <v>1858</v>
      </c>
      <c r="G530" s="9">
        <f t="shared" si="15"/>
        <v>4</v>
      </c>
      <c r="H530" s="8" t="s">
        <v>653</v>
      </c>
      <c r="I530" s="9">
        <v>4</v>
      </c>
      <c r="J530" s="8" t="s">
        <v>798</v>
      </c>
      <c r="K530" s="11" t="s">
        <v>809</v>
      </c>
    </row>
    <row r="531" spans="1:11" x14ac:dyDescent="0.35">
      <c r="A531" s="8" t="s">
        <v>654</v>
      </c>
      <c r="B531" s="8" t="s">
        <v>450</v>
      </c>
      <c r="C531" s="9">
        <v>24.627272000000001</v>
      </c>
      <c r="D531" s="9">
        <v>-82.872232999999994</v>
      </c>
      <c r="E531" s="8">
        <v>1857</v>
      </c>
      <c r="F531" s="8">
        <v>1861</v>
      </c>
      <c r="G531" s="9">
        <f t="shared" si="15"/>
        <v>5</v>
      </c>
      <c r="H531" s="8" t="s">
        <v>31</v>
      </c>
      <c r="I531" s="9">
        <v>0</v>
      </c>
      <c r="J531" s="8" t="s">
        <v>798</v>
      </c>
      <c r="K531" s="11" t="s">
        <v>809</v>
      </c>
    </row>
    <row r="532" spans="1:11" x14ac:dyDescent="0.35">
      <c r="A532" s="8" t="s">
        <v>655</v>
      </c>
      <c r="B532" s="8" t="s">
        <v>450</v>
      </c>
      <c r="C532" s="9">
        <v>26.487893</v>
      </c>
      <c r="D532" s="9">
        <v>-82.012305999999995</v>
      </c>
      <c r="E532" s="8">
        <v>1927</v>
      </c>
      <c r="F532" s="8">
        <v>1966</v>
      </c>
      <c r="G532" s="9">
        <f t="shared" si="15"/>
        <v>5</v>
      </c>
      <c r="H532" s="8" t="s">
        <v>656</v>
      </c>
      <c r="I532" s="9">
        <v>35</v>
      </c>
      <c r="J532" s="8" t="s">
        <v>798</v>
      </c>
      <c r="K532" s="11" t="s">
        <v>809</v>
      </c>
    </row>
    <row r="533" spans="1:11" x14ac:dyDescent="0.35">
      <c r="A533" s="8" t="s">
        <v>657</v>
      </c>
      <c r="B533" s="8" t="s">
        <v>450</v>
      </c>
      <c r="C533" s="9">
        <v>27.724765999999999</v>
      </c>
      <c r="D533" s="9">
        <v>-82.682033000000004</v>
      </c>
      <c r="E533" s="8">
        <v>1924</v>
      </c>
      <c r="F533" s="8">
        <v>1926</v>
      </c>
      <c r="G533" s="9">
        <f t="shared" si="15"/>
        <v>3</v>
      </c>
      <c r="H533" s="8" t="s">
        <v>31</v>
      </c>
      <c r="I533" s="9">
        <v>0</v>
      </c>
      <c r="J533" s="8" t="s">
        <v>798</v>
      </c>
      <c r="K533" s="11" t="s">
        <v>809</v>
      </c>
    </row>
    <row r="534" spans="1:11" x14ac:dyDescent="0.35">
      <c r="A534" s="8" t="s">
        <v>658</v>
      </c>
      <c r="B534" s="8" t="s">
        <v>450</v>
      </c>
      <c r="C534" s="9">
        <v>27.773717999999999</v>
      </c>
      <c r="D534" s="9">
        <v>-82.622401999999994</v>
      </c>
      <c r="E534" s="8">
        <v>1924</v>
      </c>
      <c r="F534" s="8">
        <v>1926</v>
      </c>
      <c r="G534" s="9">
        <f t="shared" si="15"/>
        <v>3</v>
      </c>
      <c r="H534" s="8" t="s">
        <v>31</v>
      </c>
      <c r="I534" s="9">
        <v>0</v>
      </c>
      <c r="J534" s="8" t="s">
        <v>798</v>
      </c>
      <c r="K534" s="11" t="s">
        <v>809</v>
      </c>
    </row>
    <row r="535" spans="1:11" x14ac:dyDescent="0.35">
      <c r="A535" s="8" t="s">
        <v>659</v>
      </c>
      <c r="B535" s="8" t="s">
        <v>450</v>
      </c>
      <c r="C535" s="9">
        <v>29.137253000000001</v>
      </c>
      <c r="D535" s="9">
        <v>-83.033123000000003</v>
      </c>
      <c r="E535" s="8">
        <v>1857</v>
      </c>
      <c r="F535" s="8">
        <v>1893</v>
      </c>
      <c r="G535" s="9">
        <f t="shared" si="15"/>
        <v>4</v>
      </c>
      <c r="H535" s="8" t="s">
        <v>660</v>
      </c>
      <c r="I535" s="9">
        <v>33</v>
      </c>
      <c r="J535" s="8" t="s">
        <v>798</v>
      </c>
      <c r="K535" s="11" t="s">
        <v>809</v>
      </c>
    </row>
    <row r="536" spans="1:11" x14ac:dyDescent="0.35">
      <c r="A536" s="8" t="s">
        <v>598</v>
      </c>
      <c r="B536" s="8" t="s">
        <v>450</v>
      </c>
      <c r="C536" s="9">
        <v>30.404536</v>
      </c>
      <c r="D536" s="9">
        <v>-87.214129</v>
      </c>
      <c r="E536" s="8">
        <v>1858</v>
      </c>
      <c r="F536" s="8">
        <v>1859</v>
      </c>
      <c r="G536" s="9">
        <f t="shared" si="15"/>
        <v>2</v>
      </c>
      <c r="H536" s="8" t="s">
        <v>31</v>
      </c>
      <c r="I536" s="9">
        <v>0</v>
      </c>
      <c r="J536" s="8" t="s">
        <v>798</v>
      </c>
      <c r="K536" s="11" t="s">
        <v>809</v>
      </c>
    </row>
    <row r="537" spans="1:11" x14ac:dyDescent="0.35">
      <c r="A537" s="8" t="s">
        <v>664</v>
      </c>
      <c r="B537" s="8" t="s">
        <v>450</v>
      </c>
      <c r="C537" s="9">
        <v>30.688549999999999</v>
      </c>
      <c r="D537" s="9">
        <v>-88.037244999999999</v>
      </c>
      <c r="E537" s="8">
        <v>1934</v>
      </c>
      <c r="F537" s="8">
        <v>1937</v>
      </c>
      <c r="G537" s="9">
        <f t="shared" si="15"/>
        <v>4</v>
      </c>
      <c r="H537" s="8" t="s">
        <v>31</v>
      </c>
      <c r="I537" s="9">
        <v>0</v>
      </c>
      <c r="J537" s="8" t="s">
        <v>798</v>
      </c>
      <c r="K537" s="11" t="s">
        <v>809</v>
      </c>
    </row>
    <row r="538" spans="1:11" x14ac:dyDescent="0.35">
      <c r="A538" s="8" t="s">
        <v>599</v>
      </c>
      <c r="B538" s="8" t="s">
        <v>450</v>
      </c>
      <c r="C538" s="9">
        <v>30.232341999999999</v>
      </c>
      <c r="D538" s="9">
        <v>-88.017825999999999</v>
      </c>
      <c r="E538" s="8">
        <v>1848</v>
      </c>
      <c r="F538" s="8">
        <v>1919</v>
      </c>
      <c r="G538" s="9">
        <f t="shared" si="15"/>
        <v>8</v>
      </c>
      <c r="H538" s="8" t="s">
        <v>665</v>
      </c>
      <c r="I538" s="9">
        <v>64</v>
      </c>
      <c r="J538" s="8" t="s">
        <v>798</v>
      </c>
      <c r="K538" s="11" t="s">
        <v>809</v>
      </c>
    </row>
    <row r="539" spans="1:11" x14ac:dyDescent="0.35">
      <c r="A539" s="8" t="s">
        <v>666</v>
      </c>
      <c r="B539" s="8" t="s">
        <v>450</v>
      </c>
      <c r="C539" s="9">
        <v>29.949563000000001</v>
      </c>
      <c r="D539" s="9">
        <v>-90.062528</v>
      </c>
      <c r="E539" s="8">
        <v>1936</v>
      </c>
      <c r="F539" s="8">
        <v>1954</v>
      </c>
      <c r="G539" s="9">
        <f t="shared" si="15"/>
        <v>19</v>
      </c>
      <c r="H539" s="8" t="s">
        <v>31</v>
      </c>
      <c r="I539" s="9">
        <v>0</v>
      </c>
      <c r="J539" s="8" t="s">
        <v>798</v>
      </c>
      <c r="K539" s="11" t="s">
        <v>809</v>
      </c>
    </row>
    <row r="540" spans="1:11" x14ac:dyDescent="0.35">
      <c r="A540" s="8" t="s">
        <v>667</v>
      </c>
      <c r="B540" s="8" t="s">
        <v>450</v>
      </c>
      <c r="C540" s="9">
        <v>29.178637999999999</v>
      </c>
      <c r="D540" s="9">
        <v>-89.258294000000006</v>
      </c>
      <c r="E540" s="8">
        <v>1875</v>
      </c>
      <c r="F540" s="8">
        <v>1947</v>
      </c>
      <c r="G540" s="9">
        <f t="shared" si="15"/>
        <v>73</v>
      </c>
      <c r="H540" s="8" t="s">
        <v>31</v>
      </c>
      <c r="I540" s="9">
        <v>0</v>
      </c>
      <c r="J540" s="8" t="s">
        <v>798</v>
      </c>
      <c r="K540" s="11" t="s">
        <v>809</v>
      </c>
    </row>
    <row r="541" spans="1:11" x14ac:dyDescent="0.35">
      <c r="A541" s="8" t="s">
        <v>668</v>
      </c>
      <c r="B541" s="8" t="s">
        <v>450</v>
      </c>
      <c r="C541" s="9">
        <v>29.015509000000002</v>
      </c>
      <c r="D541" s="9">
        <v>-89.166691</v>
      </c>
      <c r="E541" s="8">
        <v>1875</v>
      </c>
      <c r="F541" s="8">
        <v>1943</v>
      </c>
      <c r="G541" s="9">
        <f t="shared" si="15"/>
        <v>69</v>
      </c>
      <c r="H541" s="8" t="s">
        <v>31</v>
      </c>
      <c r="I541" s="9">
        <v>0</v>
      </c>
      <c r="J541" s="8" t="s">
        <v>798</v>
      </c>
      <c r="K541" s="11" t="s">
        <v>809</v>
      </c>
    </row>
    <row r="542" spans="1:11" x14ac:dyDescent="0.35">
      <c r="A542" s="8" t="s">
        <v>669</v>
      </c>
      <c r="B542" s="8" t="s">
        <v>450</v>
      </c>
      <c r="C542" s="9">
        <v>29.187197000000001</v>
      </c>
      <c r="D542" s="9">
        <v>-89.103756000000004</v>
      </c>
      <c r="E542" s="8">
        <v>1941</v>
      </c>
      <c r="F542" s="8">
        <v>1953</v>
      </c>
      <c r="G542" s="9">
        <f t="shared" si="15"/>
        <v>13</v>
      </c>
      <c r="H542" s="8" t="s">
        <v>31</v>
      </c>
      <c r="I542" s="9">
        <v>0</v>
      </c>
      <c r="J542" s="8" t="s">
        <v>798</v>
      </c>
      <c r="K542" s="11" t="s">
        <v>809</v>
      </c>
    </row>
    <row r="543" spans="1:11" x14ac:dyDescent="0.35">
      <c r="A543" s="8" t="s">
        <v>670</v>
      </c>
      <c r="B543" s="8" t="s">
        <v>450</v>
      </c>
      <c r="C543" s="9">
        <v>29.143857000000001</v>
      </c>
      <c r="D543" s="9">
        <v>-89.199200000000005</v>
      </c>
      <c r="E543" s="8">
        <v>1941</v>
      </c>
      <c r="F543" s="8">
        <v>1943</v>
      </c>
      <c r="G543" s="9">
        <f t="shared" si="15"/>
        <v>3</v>
      </c>
      <c r="H543" s="8" t="s">
        <v>31</v>
      </c>
      <c r="I543" s="9">
        <v>0</v>
      </c>
      <c r="J543" s="8" t="s">
        <v>798</v>
      </c>
      <c r="K543" s="11" t="s">
        <v>809</v>
      </c>
    </row>
    <row r="544" spans="1:11" x14ac:dyDescent="0.35">
      <c r="A544" s="8" t="s">
        <v>671</v>
      </c>
      <c r="B544" s="8" t="s">
        <v>450</v>
      </c>
      <c r="C544" s="9">
        <v>29.024937999999999</v>
      </c>
      <c r="D544" s="9">
        <v>-89.318504000000004</v>
      </c>
      <c r="E544" s="8">
        <v>1941</v>
      </c>
      <c r="F544" s="8">
        <v>1953</v>
      </c>
      <c r="G544" s="9">
        <f t="shared" si="15"/>
        <v>13</v>
      </c>
      <c r="H544" s="8" t="s">
        <v>31</v>
      </c>
      <c r="I544" s="9">
        <v>0</v>
      </c>
      <c r="J544" s="8" t="s">
        <v>798</v>
      </c>
      <c r="K544" s="11" t="s">
        <v>809</v>
      </c>
    </row>
    <row r="545" spans="1:11" x14ac:dyDescent="0.35">
      <c r="A545" s="8" t="s">
        <v>672</v>
      </c>
      <c r="B545" s="8" t="s">
        <v>450</v>
      </c>
      <c r="C545" s="9">
        <v>29.187746000000001</v>
      </c>
      <c r="D545" s="9">
        <v>-89.279375999999999</v>
      </c>
      <c r="E545" s="8">
        <v>1944</v>
      </c>
      <c r="F545" s="8">
        <v>1952</v>
      </c>
      <c r="G545" s="9">
        <f t="shared" si="15"/>
        <v>9</v>
      </c>
      <c r="H545" s="8" t="s">
        <v>31</v>
      </c>
      <c r="I545" s="9">
        <v>0</v>
      </c>
      <c r="J545" s="8" t="s">
        <v>798</v>
      </c>
      <c r="K545" s="11" t="s">
        <v>809</v>
      </c>
    </row>
    <row r="546" spans="1:11" x14ac:dyDescent="0.35">
      <c r="A546" s="8" t="s">
        <v>673</v>
      </c>
      <c r="B546" s="8" t="s">
        <v>450</v>
      </c>
      <c r="C546" s="9">
        <v>28.932065000000001</v>
      </c>
      <c r="D546" s="9">
        <v>-89.407338999999993</v>
      </c>
      <c r="E546" s="8">
        <v>1909</v>
      </c>
      <c r="F546" s="8">
        <v>1960</v>
      </c>
      <c r="G546" s="9">
        <f t="shared" ref="G546:G577" si="16">(1+(F546-E546))-I546</f>
        <v>52</v>
      </c>
      <c r="H546" s="8" t="s">
        <v>31</v>
      </c>
      <c r="I546" s="9">
        <v>0</v>
      </c>
      <c r="J546" s="8" t="s">
        <v>798</v>
      </c>
      <c r="K546" s="11" t="s">
        <v>809</v>
      </c>
    </row>
    <row r="547" spans="1:11" x14ac:dyDescent="0.35">
      <c r="A547" s="8" t="s">
        <v>674</v>
      </c>
      <c r="B547" s="8" t="s">
        <v>450</v>
      </c>
      <c r="C547" s="9">
        <v>29.259388000000001</v>
      </c>
      <c r="D547" s="9">
        <v>-89.949059000000005</v>
      </c>
      <c r="E547" s="8">
        <v>1949</v>
      </c>
      <c r="F547" s="8">
        <v>1979</v>
      </c>
      <c r="G547" s="9">
        <f t="shared" si="16"/>
        <v>31</v>
      </c>
      <c r="H547" s="8" t="s">
        <v>31</v>
      </c>
      <c r="I547" s="9">
        <v>0</v>
      </c>
      <c r="J547" s="8" t="s">
        <v>798</v>
      </c>
      <c r="K547" s="11" t="s">
        <v>809</v>
      </c>
    </row>
    <row r="548" spans="1:11" x14ac:dyDescent="0.35">
      <c r="A548" s="8" t="s">
        <v>675</v>
      </c>
      <c r="B548" s="8" t="s">
        <v>450</v>
      </c>
      <c r="C548" s="9">
        <v>29.159585</v>
      </c>
      <c r="D548" s="9">
        <v>-91.472167999999996</v>
      </c>
      <c r="E548" s="8">
        <v>1939</v>
      </c>
      <c r="F548" s="8">
        <v>1974</v>
      </c>
      <c r="G548" s="9">
        <f t="shared" si="16"/>
        <v>36</v>
      </c>
      <c r="H548" s="8" t="s">
        <v>31</v>
      </c>
      <c r="I548" s="9">
        <v>0</v>
      </c>
      <c r="J548" s="8" t="s">
        <v>798</v>
      </c>
      <c r="K548" s="11" t="s">
        <v>809</v>
      </c>
    </row>
    <row r="549" spans="1:11" x14ac:dyDescent="0.35">
      <c r="A549" s="8" t="s">
        <v>676</v>
      </c>
      <c r="B549" s="8" t="s">
        <v>450</v>
      </c>
      <c r="C549" s="9">
        <v>29.057561</v>
      </c>
      <c r="D549" s="9">
        <v>-90.211487000000005</v>
      </c>
      <c r="E549" s="8">
        <v>1949</v>
      </c>
      <c r="F549" s="8">
        <v>1969</v>
      </c>
      <c r="G549" s="9">
        <f t="shared" si="16"/>
        <v>15</v>
      </c>
      <c r="H549" s="8" t="s">
        <v>677</v>
      </c>
      <c r="I549" s="9">
        <v>6</v>
      </c>
      <c r="J549" s="8" t="s">
        <v>798</v>
      </c>
      <c r="K549" s="11" t="s">
        <v>809</v>
      </c>
    </row>
    <row r="550" spans="1:11" x14ac:dyDescent="0.35">
      <c r="A550" s="8" t="s">
        <v>678</v>
      </c>
      <c r="B550" s="8" t="s">
        <v>450</v>
      </c>
      <c r="C550" s="9">
        <v>30.189512000000001</v>
      </c>
      <c r="D550" s="9">
        <v>-92.593546000000003</v>
      </c>
      <c r="E550" s="8">
        <v>1941</v>
      </c>
      <c r="F550" s="8">
        <v>1947</v>
      </c>
      <c r="G550" s="9">
        <f t="shared" si="16"/>
        <v>7</v>
      </c>
      <c r="H550" s="8" t="s">
        <v>31</v>
      </c>
      <c r="I550" s="9">
        <v>0</v>
      </c>
      <c r="J550" s="8" t="s">
        <v>798</v>
      </c>
      <c r="K550" s="11" t="s">
        <v>809</v>
      </c>
    </row>
    <row r="551" spans="1:11" x14ac:dyDescent="0.35">
      <c r="A551" s="8" t="s">
        <v>679</v>
      </c>
      <c r="B551" s="8" t="s">
        <v>450</v>
      </c>
      <c r="C551" s="9">
        <v>26.078610000000001</v>
      </c>
      <c r="D551" s="9">
        <v>-97.208404999999999</v>
      </c>
      <c r="E551" s="8">
        <v>1944</v>
      </c>
      <c r="F551" s="8">
        <v>1976</v>
      </c>
      <c r="G551" s="9">
        <f t="shared" si="16"/>
        <v>33</v>
      </c>
      <c r="H551" s="8" t="s">
        <v>31</v>
      </c>
      <c r="I551" s="9">
        <v>0</v>
      </c>
      <c r="J551" s="8" t="s">
        <v>798</v>
      </c>
      <c r="K551" s="11" t="s">
        <v>809</v>
      </c>
    </row>
    <row r="552" spans="1:11" x14ac:dyDescent="0.35">
      <c r="A552" s="8" t="s">
        <v>680</v>
      </c>
      <c r="B552" s="8" t="s">
        <v>450</v>
      </c>
      <c r="C552" s="9">
        <v>40.723623000000003</v>
      </c>
      <c r="D552" s="9">
        <v>-124.222498</v>
      </c>
      <c r="E552" s="8">
        <v>1911</v>
      </c>
      <c r="F552" s="8">
        <v>1923</v>
      </c>
      <c r="G552" s="9">
        <f t="shared" si="16"/>
        <v>5</v>
      </c>
      <c r="H552" s="8" t="s">
        <v>681</v>
      </c>
      <c r="I552" s="9">
        <v>8</v>
      </c>
      <c r="J552" s="8" t="s">
        <v>798</v>
      </c>
      <c r="K552" s="11" t="s">
        <v>809</v>
      </c>
    </row>
    <row r="553" spans="1:11" x14ac:dyDescent="0.35">
      <c r="A553" s="8" t="s">
        <v>682</v>
      </c>
      <c r="B553" s="8" t="s">
        <v>450</v>
      </c>
      <c r="C553" s="9">
        <v>38.582374000000002</v>
      </c>
      <c r="D553" s="9">
        <v>-121.506827</v>
      </c>
      <c r="E553" s="8">
        <v>1969</v>
      </c>
      <c r="F553" s="8">
        <v>1985</v>
      </c>
      <c r="G553" s="9">
        <f t="shared" si="16"/>
        <v>17</v>
      </c>
      <c r="H553" s="8" t="s">
        <v>31</v>
      </c>
      <c r="I553" s="9">
        <v>0</v>
      </c>
      <c r="J553" s="8" t="s">
        <v>798</v>
      </c>
      <c r="K553" s="11" t="s">
        <v>809</v>
      </c>
    </row>
    <row r="554" spans="1:11" x14ac:dyDescent="0.35">
      <c r="A554" s="8" t="s">
        <v>683</v>
      </c>
      <c r="B554" s="8" t="s">
        <v>450</v>
      </c>
      <c r="C554" s="9">
        <v>37.954667000000001</v>
      </c>
      <c r="D554" s="9">
        <v>-121.338072</v>
      </c>
      <c r="E554" s="8">
        <v>1908</v>
      </c>
      <c r="F554" s="8">
        <v>1956</v>
      </c>
      <c r="G554" s="9">
        <f t="shared" si="16"/>
        <v>26</v>
      </c>
      <c r="H554" s="8" t="s">
        <v>684</v>
      </c>
      <c r="I554" s="9">
        <v>23</v>
      </c>
      <c r="J554" s="8" t="s">
        <v>798</v>
      </c>
      <c r="K554" s="11" t="s">
        <v>809</v>
      </c>
    </row>
    <row r="555" spans="1:11" x14ac:dyDescent="0.35">
      <c r="A555" s="8" t="s">
        <v>685</v>
      </c>
      <c r="B555" s="8" t="s">
        <v>450</v>
      </c>
      <c r="C555" s="9">
        <v>38.044621999999997</v>
      </c>
      <c r="D555" s="9">
        <v>-122.16457800000001</v>
      </c>
      <c r="E555" s="8">
        <v>1976</v>
      </c>
      <c r="F555" s="8">
        <v>1981</v>
      </c>
      <c r="G555" s="9">
        <f t="shared" si="16"/>
        <v>6</v>
      </c>
      <c r="H555" s="8" t="s">
        <v>31</v>
      </c>
      <c r="I555" s="9">
        <v>0</v>
      </c>
      <c r="J555" s="8" t="s">
        <v>798</v>
      </c>
      <c r="K555" s="11" t="s">
        <v>809</v>
      </c>
    </row>
    <row r="556" spans="1:11" x14ac:dyDescent="0.35">
      <c r="A556" s="8" t="s">
        <v>686</v>
      </c>
      <c r="B556" s="8" t="s">
        <v>450</v>
      </c>
      <c r="C556" s="9">
        <v>37.724094999999998</v>
      </c>
      <c r="D556" s="9">
        <v>-122.362075</v>
      </c>
      <c r="E556" s="8">
        <v>1941</v>
      </c>
      <c r="F556" s="8">
        <v>1956</v>
      </c>
      <c r="G556" s="9">
        <f t="shared" si="16"/>
        <v>12</v>
      </c>
      <c r="H556" s="8" t="s">
        <v>687</v>
      </c>
      <c r="I556" s="9">
        <v>4</v>
      </c>
      <c r="J556" s="8" t="s">
        <v>798</v>
      </c>
      <c r="K556" s="11" t="s">
        <v>809</v>
      </c>
    </row>
    <row r="557" spans="1:11" x14ac:dyDescent="0.35">
      <c r="A557" s="8" t="s">
        <v>688</v>
      </c>
      <c r="B557" s="8" t="s">
        <v>450</v>
      </c>
      <c r="C557" s="9">
        <v>36.608865999999999</v>
      </c>
      <c r="D557" s="9">
        <v>-121.891519</v>
      </c>
      <c r="E557" s="8">
        <v>1854</v>
      </c>
      <c r="F557" s="8">
        <v>1957</v>
      </c>
      <c r="G557" s="9">
        <f t="shared" si="16"/>
        <v>8</v>
      </c>
      <c r="H557" s="8" t="s">
        <v>689</v>
      </c>
      <c r="I557" s="9">
        <v>96</v>
      </c>
      <c r="J557" s="8" t="s">
        <v>798</v>
      </c>
      <c r="K557" s="11" t="s">
        <v>809</v>
      </c>
    </row>
    <row r="558" spans="1:11" x14ac:dyDescent="0.35">
      <c r="A558" s="8" t="s">
        <v>430</v>
      </c>
      <c r="B558" s="8" t="s">
        <v>450</v>
      </c>
      <c r="C558" s="4">
        <v>21.306667000000001</v>
      </c>
      <c r="D558" s="4">
        <v>-157.86666700000001</v>
      </c>
      <c r="E558" s="8">
        <v>1877</v>
      </c>
      <c r="F558" s="8">
        <v>1904</v>
      </c>
      <c r="G558" s="9">
        <f t="shared" si="16"/>
        <v>22</v>
      </c>
      <c r="H558" s="8" t="s">
        <v>690</v>
      </c>
      <c r="I558" s="9">
        <v>6</v>
      </c>
      <c r="J558" s="8" t="s">
        <v>798</v>
      </c>
      <c r="K558" s="11" t="s">
        <v>809</v>
      </c>
    </row>
    <row r="559" spans="1:11" x14ac:dyDescent="0.35">
      <c r="A559" s="8" t="s">
        <v>691</v>
      </c>
      <c r="B559" s="8" t="s">
        <v>450</v>
      </c>
      <c r="C559" s="9">
        <v>35.168218000000003</v>
      </c>
      <c r="D559" s="9">
        <v>-120.75342499999999</v>
      </c>
      <c r="E559" s="8">
        <v>1933</v>
      </c>
      <c r="F559" s="8">
        <v>1935</v>
      </c>
      <c r="G559" s="9">
        <f t="shared" si="16"/>
        <v>3</v>
      </c>
      <c r="H559" s="8" t="s">
        <v>31</v>
      </c>
      <c r="I559" s="9">
        <v>0</v>
      </c>
      <c r="J559" s="8" t="s">
        <v>798</v>
      </c>
      <c r="K559" s="11" t="s">
        <v>809</v>
      </c>
    </row>
    <row r="560" spans="1:11" x14ac:dyDescent="0.35">
      <c r="A560" s="8" t="s">
        <v>692</v>
      </c>
      <c r="B560" s="8" t="s">
        <v>450</v>
      </c>
      <c r="C560" s="9">
        <v>34.153522000000002</v>
      </c>
      <c r="D560" s="9">
        <v>-119.209514</v>
      </c>
      <c r="E560" s="8">
        <v>1940</v>
      </c>
      <c r="F560" s="8">
        <v>1962</v>
      </c>
      <c r="G560" s="9">
        <f t="shared" si="16"/>
        <v>23</v>
      </c>
      <c r="H560" s="8" t="s">
        <v>31</v>
      </c>
      <c r="I560" s="9">
        <v>0</v>
      </c>
      <c r="J560" s="8" t="s">
        <v>798</v>
      </c>
      <c r="K560" s="11" t="s">
        <v>809</v>
      </c>
    </row>
    <row r="561" spans="1:11" x14ac:dyDescent="0.35">
      <c r="A561" s="8" t="s">
        <v>693</v>
      </c>
      <c r="B561" s="8" t="s">
        <v>450</v>
      </c>
      <c r="C561" s="9">
        <v>33.761550999999997</v>
      </c>
      <c r="D561" s="9">
        <v>-118.19329999999999</v>
      </c>
      <c r="E561" s="8">
        <v>1924</v>
      </c>
      <c r="F561" s="8">
        <v>1985</v>
      </c>
      <c r="G561" s="9">
        <f t="shared" si="16"/>
        <v>62</v>
      </c>
      <c r="H561" s="8" t="s">
        <v>31</v>
      </c>
      <c r="I561" s="9">
        <v>0</v>
      </c>
      <c r="J561" s="8" t="s">
        <v>798</v>
      </c>
      <c r="K561" s="11" t="s">
        <v>809</v>
      </c>
    </row>
    <row r="562" spans="1:11" x14ac:dyDescent="0.35">
      <c r="A562" s="8" t="s">
        <v>694</v>
      </c>
      <c r="B562" s="8" t="s">
        <v>450</v>
      </c>
      <c r="C562" s="9">
        <v>33.606028999999999</v>
      </c>
      <c r="D562" s="9">
        <v>-117.931237</v>
      </c>
      <c r="E562" s="8">
        <v>1959</v>
      </c>
      <c r="F562" s="8">
        <v>1994</v>
      </c>
      <c r="G562" s="9">
        <f t="shared" si="16"/>
        <v>36</v>
      </c>
      <c r="H562" s="8" t="s">
        <v>31</v>
      </c>
      <c r="I562" s="9">
        <v>0</v>
      </c>
      <c r="J562" s="8" t="s">
        <v>798</v>
      </c>
      <c r="K562" s="11" t="s">
        <v>809</v>
      </c>
    </row>
    <row r="563" spans="1:11" x14ac:dyDescent="0.35">
      <c r="A563" s="8" t="s">
        <v>695</v>
      </c>
      <c r="B563" s="8" t="s">
        <v>450</v>
      </c>
      <c r="C563" s="9">
        <v>48.755125</v>
      </c>
      <c r="D563" s="9">
        <v>-122.493567</v>
      </c>
      <c r="E563" s="8">
        <v>1914</v>
      </c>
      <c r="F563" s="8">
        <v>1935</v>
      </c>
      <c r="G563" s="9">
        <f t="shared" si="16"/>
        <v>3</v>
      </c>
      <c r="H563" s="8" t="s">
        <v>696</v>
      </c>
      <c r="I563" s="9">
        <v>19</v>
      </c>
      <c r="J563" s="8" t="s">
        <v>798</v>
      </c>
      <c r="K563" s="11" t="s">
        <v>809</v>
      </c>
    </row>
    <row r="564" spans="1:11" x14ac:dyDescent="0.35">
      <c r="A564" s="8" t="s">
        <v>697</v>
      </c>
      <c r="B564" s="8" t="s">
        <v>450</v>
      </c>
      <c r="C564" s="9">
        <v>48.515374999999999</v>
      </c>
      <c r="D564" s="9">
        <v>-122.604911</v>
      </c>
      <c r="E564" s="8">
        <v>1921</v>
      </c>
      <c r="F564" s="8">
        <v>1923</v>
      </c>
      <c r="G564" s="9">
        <f t="shared" si="16"/>
        <v>3</v>
      </c>
      <c r="H564" s="8" t="s">
        <v>31</v>
      </c>
      <c r="I564" s="9">
        <v>0</v>
      </c>
      <c r="J564" s="8" t="s">
        <v>798</v>
      </c>
      <c r="K564" s="11" t="s">
        <v>809</v>
      </c>
    </row>
    <row r="565" spans="1:11" x14ac:dyDescent="0.35">
      <c r="A565" s="8" t="s">
        <v>607</v>
      </c>
      <c r="B565" s="8" t="s">
        <v>450</v>
      </c>
      <c r="C565" s="9">
        <v>47.555959999999999</v>
      </c>
      <c r="D565" s="9">
        <v>-122.341669</v>
      </c>
      <c r="E565" s="8">
        <v>1875</v>
      </c>
      <c r="F565" s="8">
        <v>1875</v>
      </c>
      <c r="G565" s="9">
        <f t="shared" si="16"/>
        <v>1</v>
      </c>
      <c r="H565" s="8" t="s">
        <v>31</v>
      </c>
      <c r="I565" s="9">
        <v>0</v>
      </c>
      <c r="J565" s="8" t="s">
        <v>798</v>
      </c>
      <c r="K565" s="11" t="s">
        <v>809</v>
      </c>
    </row>
    <row r="566" spans="1:11" x14ac:dyDescent="0.35">
      <c r="A566" s="8" t="s">
        <v>698</v>
      </c>
      <c r="B566" s="8" t="s">
        <v>450</v>
      </c>
      <c r="C566" s="9">
        <v>47.558126000000001</v>
      </c>
      <c r="D566" s="9">
        <v>-122.629867</v>
      </c>
      <c r="E566" s="8">
        <v>1897</v>
      </c>
      <c r="F566" s="8">
        <v>1952</v>
      </c>
      <c r="G566" s="9">
        <f t="shared" si="16"/>
        <v>24</v>
      </c>
      <c r="H566" s="8" t="s">
        <v>699</v>
      </c>
      <c r="I566" s="9">
        <v>32</v>
      </c>
      <c r="J566" s="8" t="s">
        <v>798</v>
      </c>
      <c r="K566" s="11" t="s">
        <v>809</v>
      </c>
    </row>
    <row r="567" spans="1:11" x14ac:dyDescent="0.35">
      <c r="A567" s="8" t="s">
        <v>700</v>
      </c>
      <c r="B567" s="8" t="s">
        <v>450</v>
      </c>
      <c r="C567" s="9">
        <v>47.058264999999999</v>
      </c>
      <c r="D567" s="9">
        <v>-122.905383</v>
      </c>
      <c r="E567" s="8">
        <v>1916</v>
      </c>
      <c r="F567" s="8">
        <v>1953</v>
      </c>
      <c r="G567" s="9">
        <f t="shared" si="16"/>
        <v>11</v>
      </c>
      <c r="H567" s="8" t="s">
        <v>701</v>
      </c>
      <c r="I567" s="9">
        <v>27</v>
      </c>
      <c r="J567" s="8" t="s">
        <v>798</v>
      </c>
      <c r="K567" s="11" t="s">
        <v>809</v>
      </c>
    </row>
    <row r="568" spans="1:11" x14ac:dyDescent="0.35">
      <c r="A568" s="8" t="s">
        <v>702</v>
      </c>
      <c r="B568" s="8" t="s">
        <v>450</v>
      </c>
      <c r="C568" s="9">
        <v>47.251531999999997</v>
      </c>
      <c r="D568" s="9">
        <v>-122.427263</v>
      </c>
      <c r="E568" s="8">
        <v>1950</v>
      </c>
      <c r="F568" s="8">
        <v>1954</v>
      </c>
      <c r="G568" s="9">
        <f t="shared" si="16"/>
        <v>5</v>
      </c>
      <c r="H568" s="8" t="s">
        <v>31</v>
      </c>
      <c r="I568" s="9">
        <v>0</v>
      </c>
      <c r="J568" s="8" t="s">
        <v>798</v>
      </c>
      <c r="K568" s="11" t="s">
        <v>809</v>
      </c>
    </row>
    <row r="569" spans="1:11" x14ac:dyDescent="0.35">
      <c r="A569" s="8" t="s">
        <v>703</v>
      </c>
      <c r="B569" s="8" t="s">
        <v>450</v>
      </c>
      <c r="C569" s="9">
        <v>46.281419999999997</v>
      </c>
      <c r="D569" s="9">
        <v>-124.04676000000001</v>
      </c>
      <c r="E569" s="8">
        <v>1883</v>
      </c>
      <c r="F569" s="8">
        <v>1907</v>
      </c>
      <c r="G569" s="9">
        <f t="shared" si="16"/>
        <v>25</v>
      </c>
      <c r="H569" s="8" t="s">
        <v>31</v>
      </c>
      <c r="I569" s="9">
        <v>0</v>
      </c>
      <c r="J569" s="8" t="s">
        <v>798</v>
      </c>
      <c r="K569" s="11" t="s">
        <v>809</v>
      </c>
    </row>
    <row r="570" spans="1:11" x14ac:dyDescent="0.35">
      <c r="A570" s="8" t="s">
        <v>704</v>
      </c>
      <c r="B570" s="8" t="s">
        <v>450</v>
      </c>
      <c r="C570" s="9">
        <v>43.675027999999998</v>
      </c>
      <c r="D570" s="9">
        <v>-124.1925</v>
      </c>
      <c r="E570" s="8">
        <v>1920</v>
      </c>
      <c r="F570" s="8">
        <v>1934</v>
      </c>
      <c r="G570" s="9">
        <f t="shared" si="16"/>
        <v>3</v>
      </c>
      <c r="H570" s="8" t="s">
        <v>705</v>
      </c>
      <c r="I570" s="9">
        <v>12</v>
      </c>
      <c r="J570" s="8" t="s">
        <v>798</v>
      </c>
      <c r="K570" s="11" t="s">
        <v>809</v>
      </c>
    </row>
    <row r="571" spans="1:11" x14ac:dyDescent="0.35">
      <c r="A571" s="8" t="s">
        <v>706</v>
      </c>
      <c r="B571" s="8" t="s">
        <v>450</v>
      </c>
      <c r="C571" s="9">
        <v>43.376035999999999</v>
      </c>
      <c r="D571" s="9">
        <v>-124.21234800000001</v>
      </c>
      <c r="E571" s="8">
        <v>1922</v>
      </c>
      <c r="F571" s="8">
        <v>1924</v>
      </c>
      <c r="G571" s="9">
        <f t="shared" si="16"/>
        <v>3</v>
      </c>
      <c r="H571" s="8" t="s">
        <v>31</v>
      </c>
      <c r="I571" s="9">
        <v>0</v>
      </c>
      <c r="J571" s="8" t="s">
        <v>798</v>
      </c>
      <c r="K571" s="11" t="s">
        <v>809</v>
      </c>
    </row>
    <row r="572" spans="1:11" x14ac:dyDescent="0.35">
      <c r="A572" s="8" t="s">
        <v>707</v>
      </c>
      <c r="B572" s="8" t="s">
        <v>450</v>
      </c>
      <c r="C572" s="9">
        <v>55.478065999999998</v>
      </c>
      <c r="D572" s="9">
        <v>-133.15179699999999</v>
      </c>
      <c r="E572" s="8">
        <v>1914</v>
      </c>
      <c r="F572" s="8">
        <v>1920</v>
      </c>
      <c r="G572" s="9">
        <f t="shared" si="16"/>
        <v>7</v>
      </c>
      <c r="H572" s="8" t="s">
        <v>31</v>
      </c>
      <c r="I572" s="9">
        <v>0</v>
      </c>
      <c r="J572" s="8" t="s">
        <v>798</v>
      </c>
      <c r="K572" s="11" t="s">
        <v>809</v>
      </c>
    </row>
    <row r="573" spans="1:11" x14ac:dyDescent="0.35">
      <c r="A573" s="8" t="s">
        <v>708</v>
      </c>
      <c r="B573" s="8" t="s">
        <v>450</v>
      </c>
      <c r="C573" s="9">
        <v>58.297839000000003</v>
      </c>
      <c r="D573" s="9">
        <v>-134.41377600000001</v>
      </c>
      <c r="E573" s="8">
        <v>1911</v>
      </c>
      <c r="F573" s="8">
        <v>1980</v>
      </c>
      <c r="G573" s="9">
        <f t="shared" si="16"/>
        <v>50</v>
      </c>
      <c r="H573" s="8" t="s">
        <v>709</v>
      </c>
      <c r="I573" s="9">
        <v>20</v>
      </c>
      <c r="J573" s="8" t="s">
        <v>798</v>
      </c>
      <c r="K573" s="11" t="s">
        <v>809</v>
      </c>
    </row>
    <row r="574" spans="1:11" x14ac:dyDescent="0.35">
      <c r="A574" s="8" t="s">
        <v>710</v>
      </c>
      <c r="B574" s="8" t="s">
        <v>450</v>
      </c>
      <c r="C574" s="9">
        <v>59.45017</v>
      </c>
      <c r="D574" s="9">
        <v>-135.324783</v>
      </c>
      <c r="E574" s="8">
        <v>1908</v>
      </c>
      <c r="F574" s="8">
        <v>1970</v>
      </c>
      <c r="G574" s="9">
        <f t="shared" si="16"/>
        <v>33</v>
      </c>
      <c r="H574" s="8" t="s">
        <v>711</v>
      </c>
      <c r="I574" s="9">
        <v>30</v>
      </c>
      <c r="J574" s="8" t="s">
        <v>798</v>
      </c>
      <c r="K574" s="11" t="s">
        <v>809</v>
      </c>
    </row>
    <row r="575" spans="1:11" x14ac:dyDescent="0.35">
      <c r="A575" s="8" t="s">
        <v>712</v>
      </c>
      <c r="B575" s="8" t="s">
        <v>450</v>
      </c>
      <c r="C575" s="9">
        <v>59.548783</v>
      </c>
      <c r="D575" s="9">
        <v>-139.734228</v>
      </c>
      <c r="E575" s="8">
        <v>1945</v>
      </c>
      <c r="F575" s="8">
        <v>1954</v>
      </c>
      <c r="G575" s="9">
        <f t="shared" si="16"/>
        <v>10</v>
      </c>
      <c r="H575" s="8" t="s">
        <v>31</v>
      </c>
      <c r="I575" s="9">
        <v>0</v>
      </c>
      <c r="J575" s="8" t="s">
        <v>798</v>
      </c>
      <c r="K575" s="11" t="s">
        <v>809</v>
      </c>
    </row>
    <row r="576" spans="1:11" x14ac:dyDescent="0.35">
      <c r="A576" s="8" t="s">
        <v>713</v>
      </c>
      <c r="B576" s="8" t="s">
        <v>450</v>
      </c>
      <c r="C576" s="9">
        <v>60.551569000000001</v>
      </c>
      <c r="D576" s="9">
        <v>-145.764241</v>
      </c>
      <c r="E576" s="8">
        <v>1929</v>
      </c>
      <c r="F576" s="8">
        <v>1931</v>
      </c>
      <c r="G576" s="9">
        <f t="shared" si="16"/>
        <v>3</v>
      </c>
      <c r="H576" s="8" t="s">
        <v>31</v>
      </c>
      <c r="I576" s="9">
        <v>0</v>
      </c>
      <c r="J576" s="8" t="s">
        <v>798</v>
      </c>
      <c r="K576" s="11" t="s">
        <v>809</v>
      </c>
    </row>
    <row r="577" spans="1:11" x14ac:dyDescent="0.35">
      <c r="A577" s="8" t="s">
        <v>714</v>
      </c>
      <c r="B577" s="8" t="s">
        <v>450</v>
      </c>
      <c r="C577" s="9">
        <v>61.125627000000001</v>
      </c>
      <c r="D577" s="9">
        <v>-146.352181</v>
      </c>
      <c r="E577" s="8">
        <v>1923</v>
      </c>
      <c r="F577" s="8">
        <v>1968</v>
      </c>
      <c r="G577" s="9">
        <f t="shared" si="16"/>
        <v>11</v>
      </c>
      <c r="H577" s="8" t="s">
        <v>715</v>
      </c>
      <c r="I577" s="9">
        <v>35</v>
      </c>
      <c r="J577" s="8" t="s">
        <v>798</v>
      </c>
      <c r="K577" s="11" t="s">
        <v>809</v>
      </c>
    </row>
    <row r="578" spans="1:11" x14ac:dyDescent="0.35">
      <c r="A578" s="8" t="s">
        <v>716</v>
      </c>
      <c r="B578" s="8" t="s">
        <v>450</v>
      </c>
      <c r="C578" s="9">
        <v>61.225293999999998</v>
      </c>
      <c r="D578" s="9">
        <v>-149.906387</v>
      </c>
      <c r="E578" s="8">
        <v>1918</v>
      </c>
      <c r="F578" s="8">
        <v>1974</v>
      </c>
      <c r="G578" s="9">
        <f t="shared" ref="G578:G609" si="17">(1+(F578-E578))-I578</f>
        <v>16</v>
      </c>
      <c r="H578" s="8" t="s">
        <v>717</v>
      </c>
      <c r="I578" s="9">
        <v>41</v>
      </c>
      <c r="J578" s="8" t="s">
        <v>798</v>
      </c>
      <c r="K578" s="11" t="s">
        <v>809</v>
      </c>
    </row>
    <row r="579" spans="1:11" x14ac:dyDescent="0.35">
      <c r="A579" s="8" t="s">
        <v>718</v>
      </c>
      <c r="B579" s="8" t="s">
        <v>450</v>
      </c>
      <c r="C579" s="9">
        <v>60.120440000000002</v>
      </c>
      <c r="D579" s="9">
        <v>-149.43354600000001</v>
      </c>
      <c r="E579" s="8">
        <v>1926</v>
      </c>
      <c r="F579" s="8">
        <v>1929</v>
      </c>
      <c r="G579" s="9">
        <f t="shared" si="17"/>
        <v>4</v>
      </c>
      <c r="H579" s="8" t="s">
        <v>31</v>
      </c>
      <c r="I579" s="9">
        <v>0</v>
      </c>
      <c r="J579" s="8" t="s">
        <v>798</v>
      </c>
      <c r="K579" s="11" t="s">
        <v>809</v>
      </c>
    </row>
    <row r="580" spans="1:11" x14ac:dyDescent="0.35">
      <c r="A580" s="8" t="s">
        <v>719</v>
      </c>
      <c r="B580" s="8" t="s">
        <v>450</v>
      </c>
      <c r="C580" s="9">
        <v>60.683401000000003</v>
      </c>
      <c r="D580" s="9">
        <v>-151.39941200000001</v>
      </c>
      <c r="E580" s="8">
        <v>1961</v>
      </c>
      <c r="F580" s="8">
        <v>1976</v>
      </c>
      <c r="G580" s="9">
        <f t="shared" si="17"/>
        <v>9</v>
      </c>
      <c r="H580" s="8" t="s">
        <v>720</v>
      </c>
      <c r="I580" s="9">
        <v>7</v>
      </c>
      <c r="J580" s="8" t="s">
        <v>798</v>
      </c>
      <c r="K580" s="11" t="s">
        <v>809</v>
      </c>
    </row>
    <row r="581" spans="1:11" x14ac:dyDescent="0.35">
      <c r="A581" s="8" t="s">
        <v>721</v>
      </c>
      <c r="B581" s="8" t="s">
        <v>450</v>
      </c>
      <c r="C581" s="9">
        <v>59.440655999999997</v>
      </c>
      <c r="D581" s="9">
        <v>-151.72076200000001</v>
      </c>
      <c r="E581" s="8">
        <v>1906</v>
      </c>
      <c r="F581" s="8">
        <v>1979</v>
      </c>
      <c r="G581" s="9">
        <f t="shared" si="17"/>
        <v>22</v>
      </c>
      <c r="H581" s="8" t="s">
        <v>722</v>
      </c>
      <c r="I581" s="9">
        <v>52</v>
      </c>
      <c r="J581" s="8" t="s">
        <v>798</v>
      </c>
      <c r="K581" s="11" t="s">
        <v>809</v>
      </c>
    </row>
    <row r="582" spans="1:11" x14ac:dyDescent="0.35">
      <c r="A582" s="8" t="s">
        <v>723</v>
      </c>
      <c r="B582" s="8" t="s">
        <v>450</v>
      </c>
      <c r="C582" s="9">
        <v>55.335276</v>
      </c>
      <c r="D582" s="9">
        <v>-160.50210000000001</v>
      </c>
      <c r="E582" s="8">
        <v>1953</v>
      </c>
      <c r="F582" s="8">
        <v>1964</v>
      </c>
      <c r="G582" s="9">
        <f t="shared" si="17"/>
        <v>4</v>
      </c>
      <c r="H582" s="8" t="s">
        <v>724</v>
      </c>
      <c r="I582" s="9">
        <v>8</v>
      </c>
      <c r="J582" s="8" t="s">
        <v>798</v>
      </c>
      <c r="K582" s="11" t="s">
        <v>809</v>
      </c>
    </row>
    <row r="583" spans="1:11" x14ac:dyDescent="0.35">
      <c r="A583" s="8" t="s">
        <v>725</v>
      </c>
      <c r="B583" s="8" t="s">
        <v>450</v>
      </c>
      <c r="C583" s="9">
        <v>55.986280999999998</v>
      </c>
      <c r="D583" s="9">
        <v>-160.57385600000001</v>
      </c>
      <c r="E583" s="8">
        <v>1939</v>
      </c>
      <c r="F583" s="8">
        <v>1960</v>
      </c>
      <c r="G583" s="9">
        <f t="shared" si="17"/>
        <v>10</v>
      </c>
      <c r="H583" s="8" t="s">
        <v>726</v>
      </c>
      <c r="I583" s="9">
        <v>12</v>
      </c>
      <c r="J583" s="8" t="s">
        <v>798</v>
      </c>
      <c r="K583" s="11" t="s">
        <v>809</v>
      </c>
    </row>
    <row r="584" spans="1:11" x14ac:dyDescent="0.35">
      <c r="A584" s="8" t="s">
        <v>727</v>
      </c>
      <c r="B584" s="8" t="s">
        <v>450</v>
      </c>
      <c r="C584" s="9">
        <v>55.056097999999999</v>
      </c>
      <c r="D584" s="9">
        <v>-162.32317</v>
      </c>
      <c r="E584" s="8">
        <v>1923</v>
      </c>
      <c r="F584" s="8">
        <v>1943</v>
      </c>
      <c r="G584" s="9">
        <f t="shared" si="17"/>
        <v>11</v>
      </c>
      <c r="H584" s="8" t="s">
        <v>728</v>
      </c>
      <c r="I584" s="9">
        <v>10</v>
      </c>
      <c r="J584" s="8" t="s">
        <v>798</v>
      </c>
      <c r="K584" s="11" t="s">
        <v>809</v>
      </c>
    </row>
    <row r="585" spans="1:11" x14ac:dyDescent="0.35">
      <c r="A585" s="8" t="s">
        <v>729</v>
      </c>
      <c r="B585" s="8" t="s">
        <v>450</v>
      </c>
      <c r="C585" s="9">
        <v>53.891500999999998</v>
      </c>
      <c r="D585" s="9">
        <v>-166.53475299999999</v>
      </c>
      <c r="E585" s="8">
        <v>1889</v>
      </c>
      <c r="F585" s="8">
        <v>1889</v>
      </c>
      <c r="G585" s="9">
        <f t="shared" si="17"/>
        <v>1</v>
      </c>
      <c r="H585" s="8" t="s">
        <v>31</v>
      </c>
      <c r="I585" s="9">
        <v>0</v>
      </c>
      <c r="J585" s="8" t="s">
        <v>798</v>
      </c>
      <c r="K585" s="11" t="s">
        <v>809</v>
      </c>
    </row>
    <row r="586" spans="1:11" x14ac:dyDescent="0.35">
      <c r="A586" s="8" t="s">
        <v>520</v>
      </c>
      <c r="B586" s="8" t="s">
        <v>450</v>
      </c>
      <c r="C586" s="9">
        <v>43.650809000000002</v>
      </c>
      <c r="D586" s="9">
        <v>-70.253234000000006</v>
      </c>
      <c r="E586" s="8">
        <v>1852</v>
      </c>
      <c r="F586" s="8">
        <v>1852</v>
      </c>
      <c r="G586" s="9">
        <f t="shared" si="17"/>
        <v>0.42000000000000004</v>
      </c>
      <c r="H586" s="8" t="s">
        <v>750</v>
      </c>
      <c r="I586" s="9">
        <v>0.57999999999999996</v>
      </c>
      <c r="J586" s="8" t="s">
        <v>798</v>
      </c>
      <c r="K586" s="11" t="s">
        <v>809</v>
      </c>
    </row>
    <row r="587" spans="1:11" x14ac:dyDescent="0.35">
      <c r="A587" s="8" t="s">
        <v>751</v>
      </c>
      <c r="B587" s="8" t="s">
        <v>450</v>
      </c>
      <c r="C587" s="9">
        <v>30.323491000000001</v>
      </c>
      <c r="D587" s="9">
        <v>-81.666312000000005</v>
      </c>
      <c r="E587" s="8">
        <v>1945</v>
      </c>
      <c r="F587" s="8">
        <v>1970</v>
      </c>
      <c r="G587" s="9">
        <f t="shared" si="17"/>
        <v>26</v>
      </c>
      <c r="H587" s="8" t="s">
        <v>31</v>
      </c>
      <c r="I587" s="9">
        <v>0</v>
      </c>
      <c r="J587" s="8" t="s">
        <v>799</v>
      </c>
      <c r="K587" s="11" t="s">
        <v>809</v>
      </c>
    </row>
    <row r="588" spans="1:11" x14ac:dyDescent="0.35">
      <c r="A588" s="8" t="s">
        <v>518</v>
      </c>
      <c r="B588" s="8" t="s">
        <v>519</v>
      </c>
      <c r="C588" s="9">
        <v>-17.754576</v>
      </c>
      <c r="D588" s="9">
        <v>168.311847</v>
      </c>
      <c r="E588" s="8">
        <v>1967</v>
      </c>
      <c r="F588" s="8">
        <v>1968</v>
      </c>
      <c r="G588" s="9">
        <f t="shared" si="17"/>
        <v>2</v>
      </c>
      <c r="H588" s="8" t="s">
        <v>31</v>
      </c>
      <c r="I588" s="9">
        <v>0</v>
      </c>
      <c r="J588" s="8" t="s">
        <v>770</v>
      </c>
      <c r="K588" s="11" t="s">
        <v>807</v>
      </c>
    </row>
    <row r="589" spans="1:11" x14ac:dyDescent="0.35">
      <c r="A589" s="12" t="s">
        <v>350</v>
      </c>
      <c r="B589" s="12" t="s">
        <v>351</v>
      </c>
      <c r="C589" s="4">
        <v>20.726134999999999</v>
      </c>
      <c r="D589" s="4">
        <v>107.044973</v>
      </c>
      <c r="E589" s="8">
        <v>1902</v>
      </c>
      <c r="F589" s="8">
        <v>1908</v>
      </c>
      <c r="G589" s="9">
        <f t="shared" si="17"/>
        <v>3</v>
      </c>
      <c r="H589" s="8" t="s">
        <v>352</v>
      </c>
      <c r="I589" s="9">
        <v>4</v>
      </c>
      <c r="J589" s="8" t="s">
        <v>799</v>
      </c>
      <c r="K589" s="11" t="s">
        <v>806</v>
      </c>
    </row>
    <row r="590" spans="1:11" x14ac:dyDescent="0.35">
      <c r="A590" s="12" t="s">
        <v>353</v>
      </c>
      <c r="B590" s="12" t="s">
        <v>351</v>
      </c>
      <c r="C590" s="4">
        <v>20.37612</v>
      </c>
      <c r="D590" s="4">
        <v>106.578827</v>
      </c>
      <c r="E590" s="8">
        <v>1874</v>
      </c>
      <c r="F590" s="8">
        <v>1885</v>
      </c>
      <c r="G590" s="9">
        <f t="shared" si="17"/>
        <v>2</v>
      </c>
      <c r="H590" s="8" t="s">
        <v>354</v>
      </c>
      <c r="I590" s="9">
        <v>10</v>
      </c>
      <c r="J590" s="8" t="s">
        <v>770</v>
      </c>
      <c r="K590" s="11" t="s">
        <v>806</v>
      </c>
    </row>
    <row r="591" spans="1:11" x14ac:dyDescent="0.35">
      <c r="A591" s="12" t="s">
        <v>353</v>
      </c>
      <c r="B591" s="12" t="s">
        <v>351</v>
      </c>
      <c r="C591" s="4">
        <v>20.37612</v>
      </c>
      <c r="D591" s="4">
        <v>106.578827</v>
      </c>
      <c r="E591" s="8">
        <v>1886</v>
      </c>
      <c r="F591" s="8">
        <v>1950</v>
      </c>
      <c r="G591" s="9">
        <f t="shared" si="17"/>
        <v>9</v>
      </c>
      <c r="H591" s="8" t="s">
        <v>355</v>
      </c>
      <c r="I591" s="9">
        <v>56</v>
      </c>
      <c r="J591" s="8" t="s">
        <v>798</v>
      </c>
      <c r="K591" s="11" t="s">
        <v>806</v>
      </c>
    </row>
    <row r="592" spans="1:11" x14ac:dyDescent="0.35">
      <c r="A592" s="12" t="s">
        <v>356</v>
      </c>
      <c r="B592" s="12" t="s">
        <v>351</v>
      </c>
      <c r="C592" s="4">
        <v>20.292878000000002</v>
      </c>
      <c r="D592" s="4">
        <v>106.545939</v>
      </c>
      <c r="E592" s="8">
        <v>1929</v>
      </c>
      <c r="F592" s="8">
        <v>1929</v>
      </c>
      <c r="G592" s="9">
        <f t="shared" si="17"/>
        <v>1</v>
      </c>
      <c r="H592" s="8" t="s">
        <v>31</v>
      </c>
      <c r="I592" s="9">
        <v>0</v>
      </c>
      <c r="J592" s="8" t="s">
        <v>798</v>
      </c>
      <c r="K592" s="11" t="s">
        <v>806</v>
      </c>
    </row>
    <row r="593" spans="1:11" x14ac:dyDescent="0.35">
      <c r="A593" s="12" t="s">
        <v>357</v>
      </c>
      <c r="B593" s="12" t="s">
        <v>351</v>
      </c>
      <c r="C593" s="4">
        <v>20.945443999999998</v>
      </c>
      <c r="D593" s="4">
        <v>107.07388400000001</v>
      </c>
      <c r="E593" s="8">
        <v>1929</v>
      </c>
      <c r="F593" s="8">
        <v>1938</v>
      </c>
      <c r="G593" s="9">
        <f t="shared" si="17"/>
        <v>6</v>
      </c>
      <c r="H593" s="8" t="s">
        <v>358</v>
      </c>
      <c r="I593" s="9">
        <v>4</v>
      </c>
      <c r="J593" s="8" t="s">
        <v>798</v>
      </c>
      <c r="K593" s="11" t="s">
        <v>806</v>
      </c>
    </row>
    <row r="594" spans="1:11" x14ac:dyDescent="0.35">
      <c r="A594" s="12" t="s">
        <v>359</v>
      </c>
      <c r="B594" s="12" t="s">
        <v>351</v>
      </c>
      <c r="C594" s="4">
        <v>10.381640000000001</v>
      </c>
      <c r="D594" s="4">
        <v>104.490073</v>
      </c>
      <c r="E594" s="8">
        <v>1868</v>
      </c>
      <c r="F594" s="8">
        <v>1868</v>
      </c>
      <c r="G594" s="9">
        <f t="shared" si="17"/>
        <v>1</v>
      </c>
      <c r="H594" s="8" t="s">
        <v>31</v>
      </c>
      <c r="I594" s="9">
        <v>0</v>
      </c>
      <c r="J594" s="8" t="s">
        <v>770</v>
      </c>
      <c r="K594" s="11" t="s">
        <v>806</v>
      </c>
    </row>
    <row r="595" spans="1:11" x14ac:dyDescent="0.35">
      <c r="A595" s="12" t="s">
        <v>359</v>
      </c>
      <c r="B595" s="12" t="s">
        <v>351</v>
      </c>
      <c r="C595" s="4">
        <v>10.381640000000001</v>
      </c>
      <c r="D595" s="4">
        <v>104.490073</v>
      </c>
      <c r="E595" s="8">
        <v>1904</v>
      </c>
      <c r="F595" s="8">
        <v>1905</v>
      </c>
      <c r="G595" s="9">
        <f t="shared" si="17"/>
        <v>2</v>
      </c>
      <c r="H595" s="8" t="s">
        <v>31</v>
      </c>
      <c r="I595" s="9">
        <v>0</v>
      </c>
      <c r="J595" s="8" t="s">
        <v>799</v>
      </c>
      <c r="K595" s="11" t="s">
        <v>806</v>
      </c>
    </row>
    <row r="596" spans="1:11" x14ac:dyDescent="0.35">
      <c r="A596" s="12" t="s">
        <v>360</v>
      </c>
      <c r="B596" s="12" t="s">
        <v>351</v>
      </c>
      <c r="C596" s="4">
        <v>18.654482000000002</v>
      </c>
      <c r="D596" s="4">
        <v>105.708654</v>
      </c>
      <c r="E596" s="8">
        <v>1936</v>
      </c>
      <c r="F596" s="8">
        <v>1937</v>
      </c>
      <c r="G596" s="9">
        <f t="shared" si="17"/>
        <v>2</v>
      </c>
      <c r="H596" s="8" t="s">
        <v>31</v>
      </c>
      <c r="I596" s="9">
        <v>0</v>
      </c>
      <c r="J596" s="8" t="s">
        <v>798</v>
      </c>
      <c r="K596" s="11" t="s">
        <v>806</v>
      </c>
    </row>
    <row r="597" spans="1:11" x14ac:dyDescent="0.35">
      <c r="A597" s="12" t="s">
        <v>361</v>
      </c>
      <c r="B597" s="12" t="s">
        <v>351</v>
      </c>
      <c r="C597" s="4">
        <v>10.035425999999999</v>
      </c>
      <c r="D597" s="4">
        <v>105.789957</v>
      </c>
      <c r="E597" s="8">
        <v>1869</v>
      </c>
      <c r="F597" s="8">
        <v>1869</v>
      </c>
      <c r="G597" s="9">
        <f t="shared" si="17"/>
        <v>1</v>
      </c>
      <c r="H597" s="8" t="s">
        <v>31</v>
      </c>
      <c r="I597" s="9">
        <v>0</v>
      </c>
      <c r="J597" s="8" t="s">
        <v>770</v>
      </c>
      <c r="K597" s="11" t="s">
        <v>806</v>
      </c>
    </row>
    <row r="598" spans="1:11" x14ac:dyDescent="0.35">
      <c r="A598" s="12" t="s">
        <v>362</v>
      </c>
      <c r="B598" s="12" t="s">
        <v>351</v>
      </c>
      <c r="C598" s="4">
        <v>18.764890999999999</v>
      </c>
      <c r="D598" s="4">
        <v>105.759101</v>
      </c>
      <c r="E598" s="8">
        <v>1926</v>
      </c>
      <c r="F598" s="8">
        <v>1943</v>
      </c>
      <c r="G598" s="9">
        <f t="shared" si="17"/>
        <v>17</v>
      </c>
      <c r="H598" s="8">
        <v>1938</v>
      </c>
      <c r="I598" s="9">
        <v>1</v>
      </c>
      <c r="J598" s="8" t="s">
        <v>770</v>
      </c>
      <c r="K598" s="11" t="s">
        <v>806</v>
      </c>
    </row>
    <row r="599" spans="1:11" x14ac:dyDescent="0.35">
      <c r="A599" s="12" t="s">
        <v>362</v>
      </c>
      <c r="B599" s="12" t="s">
        <v>351</v>
      </c>
      <c r="C599" s="4">
        <v>18.764890999999999</v>
      </c>
      <c r="D599" s="4">
        <v>105.759101</v>
      </c>
      <c r="E599" s="8">
        <v>1930</v>
      </c>
      <c r="F599" s="8">
        <v>1944</v>
      </c>
      <c r="G599" s="9">
        <f t="shared" si="17"/>
        <v>15</v>
      </c>
      <c r="H599" s="8" t="s">
        <v>31</v>
      </c>
      <c r="I599" s="9">
        <v>0</v>
      </c>
      <c r="J599" s="8" t="s">
        <v>799</v>
      </c>
      <c r="K599" s="11" t="s">
        <v>806</v>
      </c>
    </row>
    <row r="600" spans="1:11" x14ac:dyDescent="0.35">
      <c r="A600" s="12" t="s">
        <v>363</v>
      </c>
      <c r="B600" s="12" t="s">
        <v>351</v>
      </c>
      <c r="C600" s="4">
        <v>19.771304000000001</v>
      </c>
      <c r="D600" s="4">
        <v>105.892127</v>
      </c>
      <c r="E600" s="8">
        <v>1930</v>
      </c>
      <c r="F600" s="8">
        <v>1930</v>
      </c>
      <c r="G600" s="9">
        <f t="shared" si="17"/>
        <v>1</v>
      </c>
      <c r="H600" s="8" t="s">
        <v>31</v>
      </c>
      <c r="I600" s="9">
        <v>0</v>
      </c>
      <c r="J600" s="8" t="s">
        <v>798</v>
      </c>
      <c r="K600" s="11" t="s">
        <v>806</v>
      </c>
    </row>
    <row r="601" spans="1:11" x14ac:dyDescent="0.35">
      <c r="A601" s="12" t="s">
        <v>364</v>
      </c>
      <c r="B601" s="12" t="s">
        <v>351</v>
      </c>
      <c r="C601" s="4">
        <v>10.353206</v>
      </c>
      <c r="D601" s="4">
        <v>106.368049</v>
      </c>
      <c r="E601" s="8">
        <v>1862</v>
      </c>
      <c r="F601" s="8">
        <v>1866</v>
      </c>
      <c r="G601" s="9">
        <f t="shared" si="17"/>
        <v>2</v>
      </c>
      <c r="H601" s="8" t="s">
        <v>365</v>
      </c>
      <c r="I601" s="9">
        <v>3</v>
      </c>
      <c r="J601" s="8" t="s">
        <v>770</v>
      </c>
      <c r="K601" s="11" t="s">
        <v>806</v>
      </c>
    </row>
    <row r="602" spans="1:11" x14ac:dyDescent="0.35">
      <c r="A602" s="12" t="s">
        <v>366</v>
      </c>
      <c r="B602" s="12" t="s">
        <v>351</v>
      </c>
      <c r="C602" s="4">
        <v>10.76868</v>
      </c>
      <c r="D602" s="4">
        <v>106.70688800000001</v>
      </c>
      <c r="E602" s="8">
        <v>1861</v>
      </c>
      <c r="F602" s="8">
        <v>1863</v>
      </c>
      <c r="G602" s="9">
        <f t="shared" si="17"/>
        <v>3</v>
      </c>
      <c r="H602" s="8" t="s">
        <v>31</v>
      </c>
      <c r="I602" s="9">
        <v>0</v>
      </c>
      <c r="J602" s="8" t="s">
        <v>798</v>
      </c>
      <c r="K602" s="11" t="s">
        <v>806</v>
      </c>
    </row>
    <row r="603" spans="1:11" x14ac:dyDescent="0.35">
      <c r="A603" s="12" t="s">
        <v>366</v>
      </c>
      <c r="B603" s="12" t="s">
        <v>351</v>
      </c>
      <c r="C603" s="4">
        <v>10.76868</v>
      </c>
      <c r="D603" s="4">
        <v>106.70688800000001</v>
      </c>
      <c r="E603" s="8">
        <v>1864</v>
      </c>
      <c r="F603" s="8">
        <v>1898</v>
      </c>
      <c r="G603" s="9">
        <f t="shared" si="17"/>
        <v>6</v>
      </c>
      <c r="H603" s="8" t="s">
        <v>367</v>
      </c>
      <c r="I603" s="9">
        <v>29</v>
      </c>
      <c r="J603" s="8" t="s">
        <v>770</v>
      </c>
      <c r="K603" s="11" t="s">
        <v>806</v>
      </c>
    </row>
    <row r="604" spans="1:11" x14ac:dyDescent="0.35">
      <c r="A604" s="12" t="s">
        <v>366</v>
      </c>
      <c r="B604" s="12" t="s">
        <v>351</v>
      </c>
      <c r="C604" s="4">
        <v>10.76868</v>
      </c>
      <c r="D604" s="4">
        <v>106.70688800000001</v>
      </c>
      <c r="E604" s="8">
        <v>1921</v>
      </c>
      <c r="F604" s="8">
        <v>1925</v>
      </c>
      <c r="G604" s="9">
        <f t="shared" si="17"/>
        <v>5</v>
      </c>
      <c r="H604" s="8" t="s">
        <v>31</v>
      </c>
      <c r="I604" s="9">
        <v>0</v>
      </c>
      <c r="J604" s="8" t="s">
        <v>799</v>
      </c>
      <c r="K604" s="11" t="s">
        <v>806</v>
      </c>
    </row>
    <row r="605" spans="1:11" x14ac:dyDescent="0.35">
      <c r="A605" s="12" t="s">
        <v>368</v>
      </c>
      <c r="B605" s="12" t="s">
        <v>351</v>
      </c>
      <c r="C605" s="4">
        <v>10.940298</v>
      </c>
      <c r="D605" s="4">
        <v>106.823002</v>
      </c>
      <c r="E605" s="8">
        <v>1861</v>
      </c>
      <c r="F605" s="8">
        <v>1862</v>
      </c>
      <c r="G605" s="9">
        <f t="shared" si="17"/>
        <v>2</v>
      </c>
      <c r="H605" s="8" t="s">
        <v>31</v>
      </c>
      <c r="I605" s="9">
        <v>0</v>
      </c>
      <c r="J605" s="8" t="s">
        <v>770</v>
      </c>
      <c r="K605" s="11" t="s">
        <v>806</v>
      </c>
    </row>
    <row r="606" spans="1:11" x14ac:dyDescent="0.35">
      <c r="A606" s="12" t="s">
        <v>369</v>
      </c>
      <c r="B606" s="12" t="s">
        <v>351</v>
      </c>
      <c r="C606" s="4">
        <v>10.526532</v>
      </c>
      <c r="D606" s="4">
        <v>106.882124</v>
      </c>
      <c r="E606" s="8">
        <v>1861</v>
      </c>
      <c r="F606" s="8">
        <v>1867</v>
      </c>
      <c r="G606" s="9">
        <f t="shared" si="17"/>
        <v>6</v>
      </c>
      <c r="H606" s="8">
        <v>1865</v>
      </c>
      <c r="I606" s="9">
        <v>1</v>
      </c>
      <c r="J606" s="8" t="s">
        <v>798</v>
      </c>
      <c r="K606" s="11" t="s">
        <v>806</v>
      </c>
    </row>
    <row r="607" spans="1:11" x14ac:dyDescent="0.35">
      <c r="A607" s="12" t="s">
        <v>369</v>
      </c>
      <c r="B607" s="12" t="s">
        <v>351</v>
      </c>
      <c r="C607" s="4">
        <v>10.526532</v>
      </c>
      <c r="D607" s="4">
        <v>106.882124</v>
      </c>
      <c r="E607" s="8">
        <v>1896</v>
      </c>
      <c r="F607" s="8">
        <v>1898</v>
      </c>
      <c r="G607" s="9">
        <f t="shared" si="17"/>
        <v>2</v>
      </c>
      <c r="H607" s="8">
        <v>1897</v>
      </c>
      <c r="I607" s="9">
        <v>1</v>
      </c>
      <c r="J607" s="8" t="s">
        <v>770</v>
      </c>
      <c r="K607" s="11" t="s">
        <v>806</v>
      </c>
    </row>
    <row r="608" spans="1:11" x14ac:dyDescent="0.35">
      <c r="A608" s="12" t="s">
        <v>369</v>
      </c>
      <c r="B608" s="12" t="s">
        <v>351</v>
      </c>
      <c r="C608" s="4">
        <v>10.526532</v>
      </c>
      <c r="D608" s="4">
        <v>106.882124</v>
      </c>
      <c r="E608" s="8">
        <v>1868</v>
      </c>
      <c r="F608" s="8">
        <v>1868</v>
      </c>
      <c r="G608" s="9">
        <f t="shared" si="17"/>
        <v>1</v>
      </c>
      <c r="H608" s="8" t="s">
        <v>31</v>
      </c>
      <c r="I608" s="9">
        <v>0</v>
      </c>
      <c r="J608" s="8" t="s">
        <v>799</v>
      </c>
      <c r="K608" s="11" t="s">
        <v>806</v>
      </c>
    </row>
    <row r="609" spans="1:11" x14ac:dyDescent="0.35">
      <c r="A609" s="12" t="s">
        <v>370</v>
      </c>
      <c r="B609" s="12" t="s">
        <v>351</v>
      </c>
      <c r="C609" s="4">
        <v>9.6806809999999999</v>
      </c>
      <c r="D609" s="4">
        <v>104.40230699999999</v>
      </c>
      <c r="E609" s="8">
        <v>1931</v>
      </c>
      <c r="F609" s="8">
        <v>1937</v>
      </c>
      <c r="G609" s="9">
        <f t="shared" si="17"/>
        <v>7</v>
      </c>
      <c r="H609" s="8" t="s">
        <v>31</v>
      </c>
      <c r="I609" s="9">
        <v>0</v>
      </c>
      <c r="J609" s="8" t="s">
        <v>799</v>
      </c>
      <c r="K609" s="11" t="s">
        <v>806</v>
      </c>
    </row>
    <row r="610" spans="1:11" x14ac:dyDescent="0.35">
      <c r="A610" s="12" t="s">
        <v>371</v>
      </c>
      <c r="B610" s="12" t="s">
        <v>351</v>
      </c>
      <c r="C610" s="4">
        <v>20.857005000000001</v>
      </c>
      <c r="D610" s="4">
        <v>106.670652</v>
      </c>
      <c r="E610" s="8">
        <v>1874</v>
      </c>
      <c r="F610" s="8">
        <v>1936</v>
      </c>
      <c r="G610" s="9">
        <f t="shared" ref="G610:G641" si="18">(1+(F610-E610))-I610</f>
        <v>12</v>
      </c>
      <c r="H610" s="8" t="s">
        <v>372</v>
      </c>
      <c r="I610" s="9">
        <v>51</v>
      </c>
      <c r="J610" s="8" t="s">
        <v>770</v>
      </c>
      <c r="K610" s="11" t="s">
        <v>806</v>
      </c>
    </row>
    <row r="611" spans="1:11" x14ac:dyDescent="0.35">
      <c r="A611" s="12" t="s">
        <v>371</v>
      </c>
      <c r="B611" s="12" t="s">
        <v>351</v>
      </c>
      <c r="C611" s="4">
        <v>20.857005000000001</v>
      </c>
      <c r="D611" s="4">
        <v>106.670652</v>
      </c>
      <c r="E611" s="8">
        <v>1928</v>
      </c>
      <c r="F611" s="8">
        <v>1929</v>
      </c>
      <c r="G611" s="9">
        <f t="shared" si="18"/>
        <v>2</v>
      </c>
      <c r="H611" s="8" t="s">
        <v>31</v>
      </c>
      <c r="I611" s="9">
        <v>0</v>
      </c>
      <c r="J611" s="8" t="s">
        <v>799</v>
      </c>
      <c r="K611" s="11" t="s">
        <v>806</v>
      </c>
    </row>
    <row r="612" spans="1:11" x14ac:dyDescent="0.35">
      <c r="A612" s="12" t="s">
        <v>373</v>
      </c>
      <c r="B612" s="12" t="s">
        <v>351</v>
      </c>
      <c r="C612" s="4">
        <v>15.893839</v>
      </c>
      <c r="D612" s="4">
        <v>108.369156</v>
      </c>
      <c r="E612" s="8">
        <v>1873</v>
      </c>
      <c r="F612" s="8">
        <v>1874</v>
      </c>
      <c r="G612" s="9">
        <f t="shared" si="18"/>
        <v>2</v>
      </c>
      <c r="H612" s="8" t="s">
        <v>31</v>
      </c>
      <c r="I612" s="9">
        <v>0</v>
      </c>
      <c r="J612" s="8" t="s">
        <v>770</v>
      </c>
      <c r="K612" s="11" t="s">
        <v>806</v>
      </c>
    </row>
    <row r="613" spans="1:11" x14ac:dyDescent="0.35">
      <c r="A613" s="12" t="s">
        <v>374</v>
      </c>
      <c r="B613" s="12" t="s">
        <v>351</v>
      </c>
      <c r="C613" s="4">
        <v>10.339561</v>
      </c>
      <c r="D613" s="4">
        <v>107.070967</v>
      </c>
      <c r="E613" s="8">
        <v>1862</v>
      </c>
      <c r="F613" s="8">
        <v>1950</v>
      </c>
      <c r="G613" s="9">
        <f t="shared" si="18"/>
        <v>11</v>
      </c>
      <c r="H613" s="8" t="s">
        <v>375</v>
      </c>
      <c r="I613" s="9">
        <v>78</v>
      </c>
      <c r="J613" s="8" t="s">
        <v>798</v>
      </c>
      <c r="K613" s="11" t="s">
        <v>806</v>
      </c>
    </row>
    <row r="614" spans="1:11" x14ac:dyDescent="0.35">
      <c r="A614" s="12" t="s">
        <v>374</v>
      </c>
      <c r="B614" s="12" t="s">
        <v>351</v>
      </c>
      <c r="C614" s="4">
        <v>10.339561</v>
      </c>
      <c r="D614" s="4">
        <v>107.070967</v>
      </c>
      <c r="E614" s="8">
        <v>1908</v>
      </c>
      <c r="F614" s="8">
        <v>1933</v>
      </c>
      <c r="G614" s="9">
        <f t="shared" si="18"/>
        <v>11</v>
      </c>
      <c r="H614" s="8" t="s">
        <v>376</v>
      </c>
      <c r="I614" s="9">
        <v>15</v>
      </c>
      <c r="J614" s="8" t="s">
        <v>799</v>
      </c>
      <c r="K614" s="11" t="s">
        <v>806</v>
      </c>
    </row>
    <row r="615" spans="1:11" x14ac:dyDescent="0.35">
      <c r="A615" s="12" t="s">
        <v>377</v>
      </c>
      <c r="B615" s="12" t="s">
        <v>351</v>
      </c>
      <c r="C615" s="4">
        <v>20.958089999999999</v>
      </c>
      <c r="D615" s="4">
        <v>107.067233</v>
      </c>
      <c r="E615" s="8">
        <v>1925</v>
      </c>
      <c r="F615" s="8">
        <v>1925</v>
      </c>
      <c r="G615" s="9">
        <f t="shared" si="18"/>
        <v>1</v>
      </c>
      <c r="H615" s="8" t="s">
        <v>31</v>
      </c>
      <c r="I615" s="9">
        <v>0</v>
      </c>
      <c r="J615" s="8" t="s">
        <v>798</v>
      </c>
      <c r="K615" s="11" t="s">
        <v>806</v>
      </c>
    </row>
    <row r="616" spans="1:11" x14ac:dyDescent="0.35">
      <c r="A616" s="12" t="s">
        <v>377</v>
      </c>
      <c r="B616" s="12" t="s">
        <v>351</v>
      </c>
      <c r="C616" s="4">
        <v>20.958089999999999</v>
      </c>
      <c r="D616" s="4">
        <v>107.067233</v>
      </c>
      <c r="E616" s="8">
        <v>1903</v>
      </c>
      <c r="F616" s="8">
        <v>1937</v>
      </c>
      <c r="G616" s="9">
        <f t="shared" si="18"/>
        <v>9</v>
      </c>
      <c r="H616" s="8" t="s">
        <v>378</v>
      </c>
      <c r="I616" s="9">
        <v>26</v>
      </c>
      <c r="J616" s="8" t="s">
        <v>799</v>
      </c>
      <c r="K616" s="11" t="s">
        <v>806</v>
      </c>
    </row>
    <row r="617" spans="1:11" x14ac:dyDescent="0.35">
      <c r="A617" s="12" t="s">
        <v>379</v>
      </c>
      <c r="B617" s="12" t="s">
        <v>351</v>
      </c>
      <c r="C617" s="4">
        <v>11.910499</v>
      </c>
      <c r="D617" s="4">
        <v>109.135366</v>
      </c>
      <c r="E617" s="8">
        <v>1906</v>
      </c>
      <c r="F617" s="8">
        <v>1950</v>
      </c>
      <c r="G617" s="9">
        <f t="shared" si="18"/>
        <v>9</v>
      </c>
      <c r="H617" s="8" t="s">
        <v>380</v>
      </c>
      <c r="I617" s="9">
        <v>36</v>
      </c>
      <c r="J617" s="8" t="s">
        <v>798</v>
      </c>
      <c r="K617" s="11" t="s">
        <v>806</v>
      </c>
    </row>
    <row r="618" spans="1:11" x14ac:dyDescent="0.35">
      <c r="A618" s="12" t="s">
        <v>379</v>
      </c>
      <c r="B618" s="12" t="s">
        <v>351</v>
      </c>
      <c r="C618" s="4">
        <v>11.910499</v>
      </c>
      <c r="D618" s="4">
        <v>109.135366</v>
      </c>
      <c r="E618" s="8">
        <v>1909</v>
      </c>
      <c r="F618" s="8">
        <v>1909</v>
      </c>
      <c r="G618" s="9">
        <f t="shared" si="18"/>
        <v>1</v>
      </c>
      <c r="H618" s="8" t="s">
        <v>31</v>
      </c>
      <c r="I618" s="9">
        <v>0</v>
      </c>
      <c r="J618" s="8" t="s">
        <v>770</v>
      </c>
      <c r="K618" s="11" t="s">
        <v>806</v>
      </c>
    </row>
    <row r="619" spans="1:11" x14ac:dyDescent="0.35">
      <c r="A619" s="12" t="s">
        <v>381</v>
      </c>
      <c r="B619" s="12" t="s">
        <v>351</v>
      </c>
      <c r="C619" s="4">
        <v>20.896004000000001</v>
      </c>
      <c r="D619" s="4">
        <v>107.009812</v>
      </c>
      <c r="E619" s="8">
        <v>1930</v>
      </c>
      <c r="F619" s="8">
        <v>1930</v>
      </c>
      <c r="G619" s="9">
        <f t="shared" si="18"/>
        <v>1</v>
      </c>
      <c r="H619" s="8" t="s">
        <v>31</v>
      </c>
      <c r="I619" s="9">
        <v>0</v>
      </c>
      <c r="J619" s="8" t="s">
        <v>798</v>
      </c>
      <c r="K619" s="11" t="s">
        <v>806</v>
      </c>
    </row>
    <row r="620" spans="1:11" x14ac:dyDescent="0.35">
      <c r="A620" s="12" t="s">
        <v>382</v>
      </c>
      <c r="B620" s="12" t="s">
        <v>351</v>
      </c>
      <c r="C620" s="4">
        <v>14.323814</v>
      </c>
      <c r="D620" s="4">
        <v>109.142048</v>
      </c>
      <c r="E620" s="8">
        <v>1935</v>
      </c>
      <c r="F620" s="8">
        <v>1936</v>
      </c>
      <c r="G620" s="9">
        <f t="shared" si="18"/>
        <v>2</v>
      </c>
      <c r="H620" s="8" t="s">
        <v>31</v>
      </c>
      <c r="I620" s="9">
        <v>0</v>
      </c>
      <c r="J620" s="8" t="s">
        <v>798</v>
      </c>
      <c r="K620" s="11" t="s">
        <v>806</v>
      </c>
    </row>
    <row r="621" spans="1:11" x14ac:dyDescent="0.35">
      <c r="A621" s="12" t="s">
        <v>383</v>
      </c>
      <c r="B621" s="12" t="s">
        <v>351</v>
      </c>
      <c r="C621" s="4">
        <v>16.041170999999999</v>
      </c>
      <c r="D621" s="4">
        <v>108.228494</v>
      </c>
      <c r="E621" s="8">
        <v>1858</v>
      </c>
      <c r="F621" s="8">
        <v>1944</v>
      </c>
      <c r="G621" s="9">
        <f t="shared" si="18"/>
        <v>18</v>
      </c>
      <c r="H621" s="8" t="s">
        <v>384</v>
      </c>
      <c r="I621" s="9">
        <v>69</v>
      </c>
      <c r="J621" s="8" t="s">
        <v>770</v>
      </c>
      <c r="K621" s="11" t="s">
        <v>806</v>
      </c>
    </row>
    <row r="622" spans="1:11" x14ac:dyDescent="0.35">
      <c r="A622" s="12" t="s">
        <v>383</v>
      </c>
      <c r="B622" s="12" t="s">
        <v>351</v>
      </c>
      <c r="C622" s="4">
        <v>16.041170999999999</v>
      </c>
      <c r="D622" s="4">
        <v>108.228494</v>
      </c>
      <c r="E622" s="8">
        <v>1858</v>
      </c>
      <c r="F622" s="8">
        <v>1908</v>
      </c>
      <c r="G622" s="9">
        <f t="shared" si="18"/>
        <v>4</v>
      </c>
      <c r="H622" s="8" t="s">
        <v>385</v>
      </c>
      <c r="I622" s="9">
        <v>47</v>
      </c>
      <c r="J622" s="8" t="s">
        <v>798</v>
      </c>
      <c r="K622" s="11" t="s">
        <v>806</v>
      </c>
    </row>
    <row r="623" spans="1:11" x14ac:dyDescent="0.35">
      <c r="A623" s="12" t="s">
        <v>383</v>
      </c>
      <c r="B623" s="12" t="s">
        <v>351</v>
      </c>
      <c r="C623" s="4">
        <v>16.041170999999999</v>
      </c>
      <c r="D623" s="4">
        <v>108.228494</v>
      </c>
      <c r="E623" s="8">
        <v>1902</v>
      </c>
      <c r="F623" s="8">
        <v>1949</v>
      </c>
      <c r="G623" s="9">
        <f t="shared" si="18"/>
        <v>21</v>
      </c>
      <c r="H623" s="8" t="s">
        <v>386</v>
      </c>
      <c r="I623" s="9">
        <v>27</v>
      </c>
      <c r="J623" s="8" t="s">
        <v>799</v>
      </c>
      <c r="K623" s="11" t="s">
        <v>806</v>
      </c>
    </row>
    <row r="624" spans="1:11" x14ac:dyDescent="0.35">
      <c r="A624" s="12" t="s">
        <v>387</v>
      </c>
      <c r="B624" s="12" t="s">
        <v>351</v>
      </c>
      <c r="C624" s="4">
        <v>11.545551</v>
      </c>
      <c r="D624" s="4">
        <v>109.023473</v>
      </c>
      <c r="E624" s="8">
        <v>1930</v>
      </c>
      <c r="F624" s="8">
        <v>1930</v>
      </c>
      <c r="G624" s="9">
        <f t="shared" si="18"/>
        <v>1</v>
      </c>
      <c r="H624" s="8" t="s">
        <v>31</v>
      </c>
      <c r="I624" s="9">
        <v>0</v>
      </c>
      <c r="J624" s="8" t="s">
        <v>798</v>
      </c>
      <c r="K624" s="11" t="s">
        <v>806</v>
      </c>
    </row>
    <row r="625" spans="1:11" x14ac:dyDescent="0.35">
      <c r="A625" s="12" t="s">
        <v>388</v>
      </c>
      <c r="B625" s="12" t="s">
        <v>351</v>
      </c>
      <c r="C625" s="4">
        <v>12.261810000000001</v>
      </c>
      <c r="D625" s="4">
        <v>109.185677</v>
      </c>
      <c r="E625" s="8">
        <v>1898</v>
      </c>
      <c r="F625" s="8">
        <v>1902</v>
      </c>
      <c r="G625" s="9">
        <f t="shared" si="18"/>
        <v>3</v>
      </c>
      <c r="H625" s="8" t="s">
        <v>84</v>
      </c>
      <c r="I625" s="9">
        <v>2</v>
      </c>
      <c r="J625" s="8" t="s">
        <v>799</v>
      </c>
      <c r="K625" s="11" t="s">
        <v>806</v>
      </c>
    </row>
    <row r="626" spans="1:11" x14ac:dyDescent="0.35">
      <c r="A626" s="12" t="s">
        <v>388</v>
      </c>
      <c r="B626" s="12" t="s">
        <v>351</v>
      </c>
      <c r="C626" s="4">
        <v>12.261810000000001</v>
      </c>
      <c r="D626" s="4">
        <v>109.185677</v>
      </c>
      <c r="E626" s="8">
        <v>1912</v>
      </c>
      <c r="F626" s="8">
        <v>1913</v>
      </c>
      <c r="G626" s="9">
        <f t="shared" si="18"/>
        <v>2</v>
      </c>
      <c r="H626" s="8" t="s">
        <v>31</v>
      </c>
      <c r="I626" s="9">
        <v>0</v>
      </c>
      <c r="J626" s="8" t="s">
        <v>798</v>
      </c>
      <c r="K626" s="11" t="s">
        <v>806</v>
      </c>
    </row>
    <row r="627" spans="1:11" x14ac:dyDescent="0.35">
      <c r="A627" s="12" t="s">
        <v>389</v>
      </c>
      <c r="B627" s="12" t="s">
        <v>351</v>
      </c>
      <c r="C627" s="4">
        <v>13.774584000000001</v>
      </c>
      <c r="D627" s="4">
        <v>109.241195</v>
      </c>
      <c r="E627" s="8">
        <v>1902</v>
      </c>
      <c r="F627" s="8">
        <v>1902</v>
      </c>
      <c r="G627" s="9">
        <f t="shared" si="18"/>
        <v>1</v>
      </c>
      <c r="H627" s="8" t="s">
        <v>31</v>
      </c>
      <c r="I627" s="9">
        <v>0</v>
      </c>
      <c r="J627" s="8" t="s">
        <v>770</v>
      </c>
      <c r="K627" s="11" t="s">
        <v>806</v>
      </c>
    </row>
    <row r="628" spans="1:11" x14ac:dyDescent="0.35">
      <c r="A628" s="12" t="s">
        <v>389</v>
      </c>
      <c r="B628" s="12" t="s">
        <v>351</v>
      </c>
      <c r="C628" s="4">
        <v>13.774584000000001</v>
      </c>
      <c r="D628" s="4">
        <v>109.241195</v>
      </c>
      <c r="E628" s="8">
        <v>1879</v>
      </c>
      <c r="F628" s="8">
        <v>1938</v>
      </c>
      <c r="G628" s="9">
        <f t="shared" si="18"/>
        <v>11</v>
      </c>
      <c r="H628" s="8" t="s">
        <v>390</v>
      </c>
      <c r="I628" s="9">
        <v>49</v>
      </c>
      <c r="J628" s="8" t="s">
        <v>799</v>
      </c>
      <c r="K628" s="11" t="s">
        <v>806</v>
      </c>
    </row>
    <row r="629" spans="1:11" x14ac:dyDescent="0.35">
      <c r="A629" s="12" t="s">
        <v>389</v>
      </c>
      <c r="B629" s="12" t="s">
        <v>351</v>
      </c>
      <c r="C629" s="4">
        <v>13.774584000000001</v>
      </c>
      <c r="D629" s="4">
        <v>109.241195</v>
      </c>
      <c r="E629" s="8">
        <v>1926</v>
      </c>
      <c r="F629" s="8">
        <v>1926</v>
      </c>
      <c r="G629" s="9">
        <f t="shared" si="18"/>
        <v>1</v>
      </c>
      <c r="H629" s="8" t="s">
        <v>31</v>
      </c>
      <c r="I629" s="9">
        <v>0</v>
      </c>
      <c r="J629" s="8" t="s">
        <v>798</v>
      </c>
      <c r="K629" s="11" t="s">
        <v>806</v>
      </c>
    </row>
    <row r="630" spans="1:11" x14ac:dyDescent="0.35">
      <c r="A630" s="12" t="s">
        <v>391</v>
      </c>
      <c r="B630" s="12" t="s">
        <v>351</v>
      </c>
      <c r="C630" s="4">
        <v>10.379394</v>
      </c>
      <c r="D630" s="4">
        <v>107.089349</v>
      </c>
      <c r="E630" s="8">
        <v>1930</v>
      </c>
      <c r="F630" s="8">
        <v>1944</v>
      </c>
      <c r="G630" s="9">
        <f t="shared" si="18"/>
        <v>15</v>
      </c>
      <c r="H630" s="8" t="s">
        <v>31</v>
      </c>
      <c r="I630" s="9">
        <v>0</v>
      </c>
      <c r="J630" s="8" t="s">
        <v>799</v>
      </c>
      <c r="K630" s="11" t="s">
        <v>806</v>
      </c>
    </row>
    <row r="631" spans="1:11" x14ac:dyDescent="0.35">
      <c r="A631" s="8" t="s">
        <v>661</v>
      </c>
      <c r="B631" s="8" t="s">
        <v>662</v>
      </c>
      <c r="C631" s="9">
        <v>18.35558</v>
      </c>
      <c r="D631" s="9">
        <v>-65.034063000000003</v>
      </c>
      <c r="E631" s="8">
        <v>1872</v>
      </c>
      <c r="F631" s="8">
        <v>1926</v>
      </c>
      <c r="G631" s="9">
        <f t="shared" si="18"/>
        <v>8</v>
      </c>
      <c r="H631" s="8" t="s">
        <v>663</v>
      </c>
      <c r="I631" s="9">
        <v>47</v>
      </c>
      <c r="J631" s="8" t="s">
        <v>798</v>
      </c>
      <c r="K631" s="11" t="s">
        <v>809</v>
      </c>
    </row>
    <row r="632" spans="1:11" x14ac:dyDescent="0.35">
      <c r="A632" s="8" t="s">
        <v>482</v>
      </c>
      <c r="B632" s="8" t="s">
        <v>483</v>
      </c>
      <c r="C632" s="9">
        <v>14.00977</v>
      </c>
      <c r="D632" s="9">
        <v>-60.994610000000002</v>
      </c>
      <c r="E632" s="8" t="s">
        <v>770</v>
      </c>
      <c r="F632" s="8" t="s">
        <v>770</v>
      </c>
      <c r="G632" s="8" t="s">
        <v>770</v>
      </c>
      <c r="H632" s="8" t="s">
        <v>770</v>
      </c>
      <c r="I632" s="8" t="s">
        <v>770</v>
      </c>
      <c r="J632" s="8" t="s">
        <v>770</v>
      </c>
      <c r="K632" s="11" t="s">
        <v>807</v>
      </c>
    </row>
  </sheetData>
  <hyperlinks>
    <hyperlink ref="K269" r:id="rId1" xr:uid="{A157ECBE-76DC-40BE-8EDF-CA0CD7C98965}"/>
    <hyperlink ref="K434" r:id="rId2" xr:uid="{00E69EF7-78CF-496E-B093-5EDEA316272B}"/>
    <hyperlink ref="K431" r:id="rId3" xr:uid="{0ACAF9AF-37F7-426D-BBF0-C27DD705F2DB}"/>
    <hyperlink ref="K430" r:id="rId4" xr:uid="{452F7B0C-3E90-48E0-958A-7B4C8F1B85D3}"/>
    <hyperlink ref="K248" r:id="rId5" xr:uid="{90D2C82C-D4EB-47A7-A03A-175D10C67194}"/>
    <hyperlink ref="K506" r:id="rId6" xr:uid="{B5DE8BA6-1557-4564-B6F0-F60025000901}"/>
    <hyperlink ref="K250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239BB4B-1605-4A22-BB9F-70D33F1A817E}"/>
    <hyperlink ref="K63" r:id="rId8" xr:uid="{692AA7E4-90FA-44D2-B1E4-431520441341}"/>
    <hyperlink ref="K216" r:id="rId9" location="f0010" xr:uid="{E2B67F98-0CA8-4492-B21B-C6B5F8D38003}"/>
    <hyperlink ref="K62" r:id="rId10" location="sec2" xr:uid="{309FB48E-CCEB-46F6-A758-BFC9055330FB}"/>
    <hyperlink ref="K274" r:id="rId11" xr:uid="{8A8F81B2-7F18-43A0-BA35-91E86EBE4CFA}"/>
    <hyperlink ref="K251" r:id="rId1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53538C30-7217-49FC-8ECC-7BE025416A6B}"/>
    <hyperlink ref="K252" r:id="rId1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CFBEF03-AB4F-4F06-8478-5F59F6CDB2C9}"/>
    <hyperlink ref="K253" r:id="rId1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E24CAD2-DEC8-46E2-AE32-29629ADB9E0D}"/>
    <hyperlink ref="K254" r:id="rId1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892A0943-EC1A-4F2F-BF1B-3A6920D16115}"/>
    <hyperlink ref="K255" r:id="rId16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F2DE5B98-49C1-4B7F-B4BC-786E75CD3CA1}"/>
    <hyperlink ref="K256" r:id="rId1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89B54B26-D9B4-4783-8E5C-EF8418B4C3BE}"/>
    <hyperlink ref="K257" r:id="rId1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F3324DB-7771-4451-83AE-8B659C29FA32}"/>
    <hyperlink ref="K258" r:id="rId19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152E65C5-ADCD-4851-9D84-FF6C2A7E915A}"/>
    <hyperlink ref="K259" r:id="rId20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6991CF10-13C7-441C-9ED8-5AF025BE42C5}"/>
    <hyperlink ref="K260" r:id="rId2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0173C4AF-9EFD-4C76-BC53-8F9788495A91}"/>
    <hyperlink ref="K261" r:id="rId2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2F4D0C6-DB36-46BA-BD6A-5F17C8049DF2}"/>
    <hyperlink ref="K262" r:id="rId2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6452095B-AFD8-4F7E-BA76-EAA38D4F896B}"/>
    <hyperlink ref="K263" r:id="rId2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9EFEC261-1D57-4412-BB03-60BC18E39938}"/>
    <hyperlink ref="K264" r:id="rId2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BEBFA1C-143B-465C-95BD-DE312F785965}"/>
    <hyperlink ref="K265" r:id="rId26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EED3CBF5-2DF9-4F3B-B10D-52456DF5B22C}"/>
    <hyperlink ref="K266" r:id="rId2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F095810-DFB9-4C34-972F-094D6353A4FC}"/>
    <hyperlink ref="K267" r:id="rId2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0CAEBC34-EDC6-4E80-88FE-6B3F447EEB31}"/>
    <hyperlink ref="K64" r:id="rId29" xr:uid="{37E4D327-EF75-4A6A-8A96-4E2A768B5059}"/>
    <hyperlink ref="K65" r:id="rId30" xr:uid="{606864B1-A5E4-44F9-BEDA-874A41C88464}"/>
    <hyperlink ref="K67" r:id="rId31" xr:uid="{0F141872-87B7-4B09-A413-C5BD2816174D}"/>
    <hyperlink ref="K69" r:id="rId32" xr:uid="{E3AA010A-B92A-443B-945C-CBEDF578966A}"/>
    <hyperlink ref="K71" r:id="rId33" xr:uid="{986DF909-CE8C-4C34-91FF-A16A88A00958}"/>
    <hyperlink ref="K73" r:id="rId34" xr:uid="{436BC71D-49EC-4FC1-BFF2-755177B4D05E}"/>
    <hyperlink ref="K75" r:id="rId35" xr:uid="{BBE309B1-CCC7-41E9-88BA-7DA76B4EE87F}"/>
    <hyperlink ref="K77" r:id="rId36" xr:uid="{717E9397-B03A-4383-ACDC-38896843D9F1}"/>
    <hyperlink ref="K79" r:id="rId37" xr:uid="{212E971C-7B07-4D8E-BD9D-7BC247E108BF}"/>
    <hyperlink ref="K81" r:id="rId38" xr:uid="{DC348048-C484-4537-9271-3DB079DCE1BD}"/>
    <hyperlink ref="K83" r:id="rId39" xr:uid="{F812068B-2F02-4E69-A1F1-C285FC1B4231}"/>
    <hyperlink ref="K85" r:id="rId40" xr:uid="{7A861F2B-3DC2-465C-90D6-7CEC3524FF93}"/>
    <hyperlink ref="K87" r:id="rId41" xr:uid="{DB11715C-2A3F-43DB-9598-D05B3C2627CC}"/>
    <hyperlink ref="K89" r:id="rId42" xr:uid="{DF5D02FB-8515-442C-A0AF-5A085BBFC29A}"/>
    <hyperlink ref="K91" r:id="rId43" xr:uid="{99F9D7ED-DA09-4CF0-B48E-DF75B2F49E00}"/>
    <hyperlink ref="K93" r:id="rId44" xr:uid="{A1300623-41DC-4ACF-86C5-0F8EA5BA0DEE}"/>
    <hyperlink ref="K95" r:id="rId45" xr:uid="{7E896C10-4C9F-4CF6-B769-69915A911A1F}"/>
    <hyperlink ref="K97" r:id="rId46" xr:uid="{F1EDF544-6E01-4A57-BF6A-8924F5CB7D15}"/>
    <hyperlink ref="K99" r:id="rId47" xr:uid="{FA174717-EA99-4C03-AE4E-4B1DAE4CDB72}"/>
    <hyperlink ref="K101" r:id="rId48" xr:uid="{34E9D77F-E6A8-4D56-9041-EF2CFCD6CE37}"/>
    <hyperlink ref="K103" r:id="rId49" xr:uid="{DD1333F0-D9FA-4098-B95D-BF0245DA425C}"/>
    <hyperlink ref="K105" r:id="rId50" xr:uid="{7F9683D5-9184-41CE-9833-C4239DEDE26E}"/>
    <hyperlink ref="K107" r:id="rId51" xr:uid="{3C73E1B9-FB74-47FD-9A87-4897193DCFF0}"/>
    <hyperlink ref="K109" r:id="rId52" xr:uid="{A63FFD24-3671-42B4-AFA6-82D7AE815E91}"/>
    <hyperlink ref="K111" r:id="rId53" xr:uid="{CF4C6D5C-0E0F-442A-A94B-A8A39D77C60C}"/>
    <hyperlink ref="K113" r:id="rId54" xr:uid="{A8D61DEE-F429-4E9D-BF22-33A32516E760}"/>
    <hyperlink ref="K115" r:id="rId55" xr:uid="{5CC39015-5CB7-4F30-BF4C-F5EB4C2037C4}"/>
    <hyperlink ref="K117" r:id="rId56" xr:uid="{7BD19403-F3CF-41DE-B5BE-2ABE07E1FAB8}"/>
    <hyperlink ref="K119" r:id="rId57" xr:uid="{3472E84B-46EF-44B2-BBD0-79B8A258DB1A}"/>
    <hyperlink ref="K121" r:id="rId58" xr:uid="{43A1322F-1FF4-4674-B45A-4F73F662C3CC}"/>
    <hyperlink ref="K123" r:id="rId59" xr:uid="{A63AADA5-A100-4435-8A60-FA439155AAE3}"/>
    <hyperlink ref="K125" r:id="rId60" xr:uid="{EC4BE012-4E68-43A5-B822-17B2EE19D0AA}"/>
    <hyperlink ref="K127" r:id="rId61" xr:uid="{41EA2F3D-9DD3-4B32-9ADF-D0AE6C962638}"/>
    <hyperlink ref="K129" r:id="rId62" xr:uid="{4E374D5F-3405-4AAA-A200-879D74D31502}"/>
    <hyperlink ref="K131" r:id="rId63" xr:uid="{CA00050E-257A-4D92-A11B-FCE4E93C24A8}"/>
    <hyperlink ref="K133" r:id="rId64" xr:uid="{CDD692EC-AF9C-4387-A163-2F2D9A73D3B7}"/>
    <hyperlink ref="K135" r:id="rId65" xr:uid="{BC6894B6-082F-4957-8E4A-CE7486E15776}"/>
    <hyperlink ref="K137" r:id="rId66" xr:uid="{D3355B18-DA9A-45C4-85F5-2F5D190C8A21}"/>
    <hyperlink ref="K139" r:id="rId67" xr:uid="{61023F6E-7C5B-4968-B151-145215FE5A6E}"/>
    <hyperlink ref="K141" r:id="rId68" xr:uid="{E6E34FEB-D526-4016-95F5-F26F7DBF2D83}"/>
    <hyperlink ref="K143" r:id="rId69" xr:uid="{E4FC1CC6-3480-4342-979A-FBDAA8880AB5}"/>
    <hyperlink ref="K145" r:id="rId70" xr:uid="{B1C9928D-3EE8-4C96-B16F-EB1B957CD757}"/>
    <hyperlink ref="K147" r:id="rId71" xr:uid="{13EA95E2-C993-4EFD-8571-0D4E5FD45042}"/>
    <hyperlink ref="K149" r:id="rId72" xr:uid="{35A2011F-D428-4FCD-BBBD-1CCF0751F325}"/>
    <hyperlink ref="K151" r:id="rId73" xr:uid="{C2540C1B-A19D-48E8-A0E8-59E2C9B4EF8C}"/>
    <hyperlink ref="K153" r:id="rId74" xr:uid="{77C8B4AD-EBF7-4381-A89E-AB67B606EB22}"/>
    <hyperlink ref="K155" r:id="rId75" xr:uid="{95C61751-0A2E-49F4-A093-2AFEFA2A4E77}"/>
    <hyperlink ref="K157" r:id="rId76" xr:uid="{CCCDE669-B156-4C3C-BC10-FD4713A9E771}"/>
    <hyperlink ref="K159" r:id="rId77" xr:uid="{3C8F7249-79DB-475F-85F4-4907B4541E7F}"/>
    <hyperlink ref="K161" r:id="rId78" xr:uid="{D5BA0FB6-464E-487D-8AC6-3710CF2780E0}"/>
    <hyperlink ref="K163" r:id="rId79" xr:uid="{7CDDB323-1243-4461-BB21-24D941BA5641}"/>
    <hyperlink ref="K165" r:id="rId80" xr:uid="{710FFFCA-2441-43E2-8884-415BF0F52E52}"/>
    <hyperlink ref="K167" r:id="rId81" xr:uid="{814D4893-5593-4354-B248-906E061AE075}"/>
    <hyperlink ref="K169" r:id="rId82" xr:uid="{3B028FA4-641A-4FFE-94F2-5FD661B4E359}"/>
    <hyperlink ref="K171" r:id="rId83" xr:uid="{0F7755C7-BC1D-4AB9-B311-2CBBD63C71AE}"/>
    <hyperlink ref="K173" r:id="rId84" xr:uid="{14124203-3081-45C4-8747-4FAAC3884460}"/>
    <hyperlink ref="K175" r:id="rId85" xr:uid="{D7F169F0-C188-4AF3-A18D-748778ED07FE}"/>
    <hyperlink ref="K177" r:id="rId86" xr:uid="{49D1FC67-C682-4E65-87C7-2EC9E8C502CB}"/>
    <hyperlink ref="K179" r:id="rId87" xr:uid="{C94700FD-0185-4FCF-991D-B83A0C9A3826}"/>
    <hyperlink ref="K181" r:id="rId88" xr:uid="{C51D211A-3F45-46E0-8600-A0F5D4308DE7}"/>
    <hyperlink ref="K183" r:id="rId89" xr:uid="{B198C3BF-53C9-46CC-8467-02102E56E6F6}"/>
    <hyperlink ref="K185" r:id="rId90" xr:uid="{7D441A76-3E9D-434A-912E-43302917654A}"/>
    <hyperlink ref="K187" r:id="rId91" xr:uid="{79118171-9F15-42B6-A2C4-A69E081B495D}"/>
    <hyperlink ref="K189" r:id="rId92" xr:uid="{04801584-0734-41EF-9DC7-216274BAC34D}"/>
    <hyperlink ref="K191" r:id="rId93" xr:uid="{A601A221-CB18-43F4-8388-BBC0A240E682}"/>
    <hyperlink ref="K193" r:id="rId94" xr:uid="{C7DF2387-748C-42C9-A1F9-FAECE85BFC13}"/>
    <hyperlink ref="K195" r:id="rId95" xr:uid="{CC719FD0-0E2C-4AC9-B151-330107342A5C}"/>
    <hyperlink ref="K197" r:id="rId96" xr:uid="{B21BD3AB-FEEA-4DA8-899C-DB066D21BC4E}"/>
    <hyperlink ref="K199" r:id="rId97" xr:uid="{3FA46450-A3D8-418C-9494-B1FBB0B0CA6B}"/>
    <hyperlink ref="K201" r:id="rId98" xr:uid="{F87F7BF8-AE6B-4097-A00C-177624814597}"/>
    <hyperlink ref="K203" r:id="rId99" xr:uid="{9125C3E9-71F4-440C-8D9A-E925590FC87B}"/>
    <hyperlink ref="K205" r:id="rId100" xr:uid="{29F2D4B5-C096-4C16-B9CC-BC92060B6025}"/>
    <hyperlink ref="K207" r:id="rId101" xr:uid="{DDA9C4B5-75F7-4779-AA68-384640765F16}"/>
    <hyperlink ref="K209" r:id="rId102" xr:uid="{B17BE9A1-4F17-4348-ACEE-C4A8E276D562}"/>
    <hyperlink ref="K211" r:id="rId103" xr:uid="{F693DD4C-8937-4D36-9BC9-E44E96A15E5F}"/>
    <hyperlink ref="K213" r:id="rId104" xr:uid="{0940F97C-B63C-4248-94A3-4FFE94D2458C}"/>
    <hyperlink ref="K215" r:id="rId105" xr:uid="{5F0127F3-DD0B-43FB-B902-FC5EE09F9521}"/>
    <hyperlink ref="K41" r:id="rId106" xr:uid="{1D762F3C-3E51-4611-AAD2-3ECE1CF69699}"/>
    <hyperlink ref="K12" r:id="rId107" xr:uid="{1D9EC186-B511-4FDE-A976-DC750D3FBE81}"/>
    <hyperlink ref="K323" r:id="rId108" xr:uid="{022787C2-3CF1-482F-AE5A-A97B51D7556E}"/>
    <hyperlink ref="K226" r:id="rId109" xr:uid="{2FF19AF3-0D76-4F71-8EF0-EA9F20FDEF00}"/>
    <hyperlink ref="K346" r:id="rId110" xr:uid="{011EBF4C-CAD0-4AB0-86A9-A645C67E3016}"/>
    <hyperlink ref="K270" r:id="rId111" xr:uid="{3E4B9261-FCC6-480E-8678-D4CBC8249AAD}"/>
    <hyperlink ref="K305" r:id="rId112" xr:uid="{16EABBCF-319F-4CBB-8013-FE63E22CAEC3}"/>
    <hyperlink ref="K58" r:id="rId113" xr:uid="{DBB8219C-4738-48D3-98BC-DD1C2ED0B34E}"/>
    <hyperlink ref="K60" r:id="rId114" xr:uid="{9938EFC8-A706-43C6-A8C0-8882C1043A09}"/>
    <hyperlink ref="K390" r:id="rId115" xr:uid="{8122C61B-18F2-428D-98A7-7D0C88FE9C6E}"/>
    <hyperlink ref="K392" r:id="rId116" xr:uid="{9AEDA645-24EA-414B-A768-E540E1330B65}"/>
    <hyperlink ref="K394" r:id="rId117" xr:uid="{550F1874-1180-4F0C-910F-529B5868ADD5}"/>
    <hyperlink ref="K396" r:id="rId118" xr:uid="{419C0A2C-1255-4FE2-8EED-9C7F4A1A728F}"/>
    <hyperlink ref="K3" r:id="rId119" xr:uid="{EF61FD63-8592-4728-A3B1-CD13372D95F7}"/>
    <hyperlink ref="K5" r:id="rId120" xr:uid="{BC3710C7-371E-4E5F-BF2B-5A0B571191EA}"/>
    <hyperlink ref="K7" r:id="rId121" xr:uid="{7F8E2E0D-47FA-4D88-801D-D5589C143FE3}"/>
    <hyperlink ref="K312" r:id="rId122" xr:uid="{0A9F842C-654B-4305-8064-551D93C24003}"/>
    <hyperlink ref="K314" r:id="rId123" xr:uid="{16B5249E-7509-4344-96AD-160DB0DD56AB}"/>
    <hyperlink ref="K316" r:id="rId124" xr:uid="{9814CA2A-3C9C-4840-B8B7-A51C25510C4D}"/>
    <hyperlink ref="K318" r:id="rId125" xr:uid="{5E9B29AB-C07C-4F7B-9606-D5DD7B047F03}"/>
    <hyperlink ref="K320" r:id="rId126" xr:uid="{A0642E0A-DB1A-4159-8A6F-68BB8CF745EF}"/>
    <hyperlink ref="K366" r:id="rId127" xr:uid="{D0DD0508-5C8E-42DE-9211-8CC4BEA9B5CB}"/>
    <hyperlink ref="K368" r:id="rId128" xr:uid="{71EA5A78-0A42-41E5-B33A-98DA5391862D}"/>
    <hyperlink ref="K370" r:id="rId129" xr:uid="{ECFCB9D5-372E-4DC2-8FE5-910E87B10C38}"/>
    <hyperlink ref="K372" r:id="rId130" xr:uid="{61608FF4-A9B5-47C5-B6C8-B1CC93C82463}"/>
    <hyperlink ref="K232" r:id="rId131" xr:uid="{51E1BA1C-0D98-4DD1-8845-CB62C4ADB057}"/>
    <hyperlink ref="K234" r:id="rId132" xr:uid="{B1A3E860-A8CA-46DD-B183-EE44D960E669}"/>
    <hyperlink ref="K236" r:id="rId133" xr:uid="{D8EF145B-6AA0-4B25-B568-D292D47C3EAB}"/>
    <hyperlink ref="K272" r:id="rId134" xr:uid="{725F7A62-0567-423D-89B7-A4295F7CA9E1}"/>
    <hyperlink ref="K16" r:id="rId135" xr:uid="{D74B3343-9465-4425-9D71-A89D3E714BBB}"/>
    <hyperlink ref="K219" r:id="rId136" xr:uid="{53B78672-A7AD-4E6B-A31A-3E90D2D5D451}"/>
    <hyperlink ref="K221" r:id="rId137" xr:uid="{448C9DFE-EE81-477D-83CF-F9B68F077556}"/>
    <hyperlink ref="K22" r:id="rId138" xr:uid="{9331A0EB-ED7E-4AB6-8051-CFDD824CA3C4}"/>
    <hyperlink ref="K363" r:id="rId139" xr:uid="{3B3C53BE-CCF0-4660-8B9D-3BD8E6DCDFCD}"/>
    <hyperlink ref="K278" r:id="rId140" xr:uid="{0956FC27-90FC-4B5E-A8DA-D20C32CE4CE8}"/>
    <hyperlink ref="K280" r:id="rId141" xr:uid="{889BCCF2-3C66-4315-BC11-98F57AEB3084}"/>
    <hyperlink ref="K282" r:id="rId142" xr:uid="{B5BCF455-B88F-427E-8C90-B9F2CD5822C2}"/>
    <hyperlink ref="K284" r:id="rId143" xr:uid="{8EFCA761-BA9B-4F3F-99E1-8A9CFD1916F2}"/>
    <hyperlink ref="K286" r:id="rId144" xr:uid="{55249A2C-1D4C-42C2-87AA-6A37266E77C5}"/>
    <hyperlink ref="K288" r:id="rId145" xr:uid="{59AAA880-CEF7-41E5-AD81-5788B07AF710}"/>
    <hyperlink ref="K290" r:id="rId146" xr:uid="{94F7913F-4854-4472-BC15-CC29F155027F}"/>
    <hyperlink ref="K292" r:id="rId147" xr:uid="{A753676C-9B20-4D56-AC25-3FBC51E69BE1}"/>
    <hyperlink ref="K294" r:id="rId148" xr:uid="{1D4549A4-2ADD-453F-8F6B-05278CD47A37}"/>
    <hyperlink ref="K296" r:id="rId149" xr:uid="{6D701B2B-6BF2-4B28-A1EE-42DB89A70C9A}"/>
    <hyperlink ref="K298" r:id="rId150" xr:uid="{A9DC82DA-9A10-4699-8488-E189A316D4C7}"/>
    <hyperlink ref="K276" r:id="rId151" xr:uid="{D9B819DE-6A7B-4954-BAA7-842E482F033A}"/>
    <hyperlink ref="K308" r:id="rId152" xr:uid="{C6DE1380-AA72-4889-B1F9-8127B12ACDD7}"/>
    <hyperlink ref="K17" r:id="rId153" xr:uid="{E6CE44D3-CEBA-46DA-BEA4-9CD9AC48CC1E}"/>
    <hyperlink ref="K19" r:id="rId154" xr:uid="{DC71D041-ADAD-4BD9-91E6-4E32D4E3CD7F}"/>
    <hyperlink ref="K247" r:id="rId155" xr:uid="{4E829237-AA80-45F7-AEC9-0AF263E967F9}"/>
    <hyperlink ref="K590" r:id="rId156" xr:uid="{429ACBC5-0F69-44F4-A3F8-6A1DA1167BC0}"/>
    <hyperlink ref="K592" r:id="rId157" xr:uid="{3DAC256F-9625-46C3-9C5C-1AA40F65E98B}"/>
    <hyperlink ref="K594" r:id="rId158" xr:uid="{7C882D2E-9D95-4AB7-B8C5-EA4C88B6CFC0}"/>
    <hyperlink ref="K596" r:id="rId159" xr:uid="{E5213118-CD2B-474E-A617-9C345330F987}"/>
    <hyperlink ref="K598" r:id="rId160" xr:uid="{C71E9441-A872-4B7C-95D6-161E2785E780}"/>
    <hyperlink ref="K600" r:id="rId161" xr:uid="{FDC4DB82-EE83-4A08-B455-7ECF77C7A6DB}"/>
    <hyperlink ref="K602" r:id="rId162" xr:uid="{12111C38-2AE3-4E53-A6B0-93095124A9CA}"/>
    <hyperlink ref="K604" r:id="rId163" xr:uid="{8F4B761F-AE2E-416B-ADAD-3DCEBE595251}"/>
    <hyperlink ref="K606" r:id="rId164" xr:uid="{98236D0B-9C14-45C5-9AF2-6C63008A3618}"/>
    <hyperlink ref="K608" r:id="rId165" xr:uid="{7749F84F-0DA1-4F81-92F2-7CE11CF5F5B3}"/>
    <hyperlink ref="K610" r:id="rId166" xr:uid="{ADC800FC-A553-4F88-B1F9-4E49392E703A}"/>
    <hyperlink ref="K612" r:id="rId167" xr:uid="{5CDD59D0-51CA-4B6B-87D6-8CF9816865F5}"/>
    <hyperlink ref="K614" r:id="rId168" xr:uid="{1448C78E-C75B-493B-A98D-8AE292CA74D5}"/>
    <hyperlink ref="K616" r:id="rId169" xr:uid="{AEDA9FD1-1B70-4EFA-A7E7-9DFC75ACFE93}"/>
    <hyperlink ref="K618" r:id="rId170" xr:uid="{964398E7-E512-4B9C-A0E4-B366A3980D3E}"/>
    <hyperlink ref="K620" r:id="rId171" xr:uid="{60B91490-91B8-4BD5-AC12-6874E546A732}"/>
    <hyperlink ref="K622" r:id="rId172" xr:uid="{D114284E-98DA-4911-9D0F-4B2D18C63A0F}"/>
    <hyperlink ref="K624" r:id="rId173" xr:uid="{86D51708-B375-403F-A6D6-194A11E1F4B1}"/>
    <hyperlink ref="K626" r:id="rId174" xr:uid="{CBC59907-BA7A-47F9-BA61-230E742E81D3}"/>
    <hyperlink ref="K628" r:id="rId175" xr:uid="{2E84537D-BF3B-451D-91EB-FDD33AAF00E2}"/>
    <hyperlink ref="K630" r:id="rId176" xr:uid="{DEB5FC2C-66E0-433D-85A8-0F9E60935D7E}"/>
    <hyperlink ref="K45" r:id="rId177" xr:uid="{CA92F713-54C5-44ED-8759-6A80E87406C0}"/>
    <hyperlink ref="K389" r:id="rId178" xr:uid="{CAC08601-D309-4899-94EC-40BE13A4FB7F}"/>
    <hyperlink ref="K331" r:id="rId179" xr:uid="{49350E76-A8FD-4FE7-86BA-CC07F7E9DDFF}"/>
    <hyperlink ref="K351" r:id="rId180" xr:uid="{233C542F-7654-4F2C-9A10-AF63347B5175}"/>
    <hyperlink ref="K353" r:id="rId181" xr:uid="{2CDB41CF-A7FD-4E9E-B354-A6E0420C90DC}"/>
    <hyperlink ref="K355" r:id="rId182" xr:uid="{54744DC6-B4F3-4026-B595-EFD17EB062DF}"/>
    <hyperlink ref="K357" r:id="rId183" xr:uid="{9E6E78C9-80A1-4A27-808F-48D9A161F4F3}"/>
    <hyperlink ref="K359" r:id="rId184" xr:uid="{5111A314-70DA-49D1-92C8-8B59492B24DC}"/>
    <hyperlink ref="K361" r:id="rId185" xr:uid="{7B7B73A8-D248-4495-9235-0F165FDE7D5E}"/>
    <hyperlink ref="K326" r:id="rId186" xr:uid="{FC8812AD-F230-465F-AC46-BD52633EE161}"/>
    <hyperlink ref="K328" r:id="rId187" xr:uid="{282C4416-F82F-4B3F-A80D-6C31E46B10EE}"/>
    <hyperlink ref="K362" r:id="rId188" xr:uid="{75772D60-6AC0-4C5C-9229-745580FA95B0}"/>
    <hyperlink ref="K44" r:id="rId189" xr:uid="{AC5E6B9D-281D-479D-B415-F731832EC387}"/>
    <hyperlink ref="K348" r:id="rId190" xr:uid="{2689B4C2-F081-467E-B224-A4219049A5A8}"/>
    <hyperlink ref="K238" r:id="rId191" xr:uid="{692F0D2A-828E-46A9-B0B7-B487EBC317B2}"/>
    <hyperlink ref="K240" r:id="rId192" xr:uid="{10F141DA-74E5-4FF4-A8AB-BA03DC26741C}"/>
    <hyperlink ref="K242" r:id="rId193" xr:uid="{E7ABD739-B034-4038-8FA0-2B76CA80C6C8}"/>
    <hyperlink ref="K244" r:id="rId194" xr:uid="{52BBD13E-4AD1-4BFB-B1C8-1A376BBEBEAE}"/>
    <hyperlink ref="K301" r:id="rId195" xr:uid="{307854A5-FC87-419C-9D84-642FAECE0238}"/>
    <hyperlink ref="K303" r:id="rId196" xr:uid="{2BC9333E-5DF3-4D3B-A602-8667217CF1F8}"/>
    <hyperlink ref="K469" r:id="rId197" xr:uid="{D3E7FCFE-8363-405D-B7F5-AC660C34F6FA}"/>
    <hyperlink ref="K24" r:id="rId198" xr:uid="{54FB0C35-F47E-4F4D-B3D8-5CC81D837048}"/>
    <hyperlink ref="K217" r:id="rId199" xr:uid="{BC815162-0C75-4E3F-8D6E-CD597F204641}"/>
    <hyperlink ref="K386" r:id="rId200" xr:uid="{5506AD5C-E30D-49D1-8EFE-E342A34FA2FE}"/>
    <hyperlink ref="K66" r:id="rId201" xr:uid="{B561BD16-E512-4D1F-8D57-99E70D8A5F3B}"/>
    <hyperlink ref="K68" r:id="rId202" xr:uid="{03D3EB98-5A91-4B50-B4DE-26A804D368C7}"/>
    <hyperlink ref="K70" r:id="rId203" xr:uid="{457D0EE2-4E5F-4798-90D3-4CAA44A04C3B}"/>
    <hyperlink ref="K72" r:id="rId204" xr:uid="{4A7D1829-03BE-4F3F-8F12-76E3DA19C61B}"/>
    <hyperlink ref="K74" r:id="rId205" xr:uid="{946F5901-2853-4C34-AF33-34D55BAD6729}"/>
    <hyperlink ref="K76" r:id="rId206" xr:uid="{0D34CE30-6182-4CD7-A807-9194691E2C3D}"/>
    <hyperlink ref="K78" r:id="rId207" xr:uid="{A0FDB1B1-7CD5-4D0F-A2CA-86E8AE32EA49}"/>
    <hyperlink ref="K80" r:id="rId208" xr:uid="{49180694-951F-4419-A2EC-2A03618BA99C}"/>
    <hyperlink ref="K82" r:id="rId209" xr:uid="{561224B3-BAE1-4992-9481-18B5A04B69AE}"/>
    <hyperlink ref="K84" r:id="rId210" xr:uid="{29098A6F-A894-43BE-ADE3-E2E11EA87CF5}"/>
    <hyperlink ref="K86" r:id="rId211" xr:uid="{232D7042-7C24-4DB7-B959-9DC2113DA2B0}"/>
    <hyperlink ref="K88" r:id="rId212" xr:uid="{027FC120-0C6D-4EAD-98B0-C91EFAF0C26E}"/>
    <hyperlink ref="K90" r:id="rId213" xr:uid="{507F2A49-852D-4634-BE50-9C323ACE7DC3}"/>
    <hyperlink ref="K92" r:id="rId214" xr:uid="{76E88497-E5BB-4CE3-97E7-9F05C1CC63E4}"/>
    <hyperlink ref="K94" r:id="rId215" xr:uid="{8B75173F-9D20-4910-AA9C-A7107C05AD7A}"/>
    <hyperlink ref="K96" r:id="rId216" xr:uid="{81224CE4-FC53-4B64-8A51-C5B1597626F9}"/>
    <hyperlink ref="K98" r:id="rId217" xr:uid="{83B2886E-3516-4594-AB64-7007C09CA2D3}"/>
    <hyperlink ref="K100" r:id="rId218" xr:uid="{C16EA866-24F4-4486-8A1E-0C1BCC1DC9CA}"/>
    <hyperlink ref="K102" r:id="rId219" xr:uid="{232C1356-4A1E-4000-B696-01562195A648}"/>
    <hyperlink ref="K104" r:id="rId220" xr:uid="{B4C5C3F9-EF3A-4190-8146-DC73436C9A3D}"/>
    <hyperlink ref="K106" r:id="rId221" xr:uid="{7DBDF8B4-D643-4736-A278-1AECC906F459}"/>
    <hyperlink ref="K108" r:id="rId222" xr:uid="{766DDDF6-2A22-4A5B-B0DF-EDAEFA0B0F9B}"/>
    <hyperlink ref="K110" r:id="rId223" xr:uid="{1E323456-4EC4-4A9F-892C-1B3593D6694C}"/>
    <hyperlink ref="K112" r:id="rId224" xr:uid="{064D75A5-1ED6-4DB3-80D2-3BC8C646D57A}"/>
    <hyperlink ref="K114" r:id="rId225" xr:uid="{03B890C3-4B1D-48E4-BAED-7A5AFC1577F8}"/>
    <hyperlink ref="K116" r:id="rId226" xr:uid="{C0052F35-EABD-4F62-9779-DB633527B268}"/>
    <hyperlink ref="K118" r:id="rId227" xr:uid="{5347F176-0CDE-45F5-931C-D8395C7CC848}"/>
    <hyperlink ref="K120" r:id="rId228" xr:uid="{C2A0EF77-5CEB-48E1-8580-807E0B15BAE8}"/>
    <hyperlink ref="K122" r:id="rId229" xr:uid="{F6753BA6-91E2-447E-96AA-8CDF97F3D5CB}"/>
    <hyperlink ref="K124" r:id="rId230" xr:uid="{420CC0D0-3874-4840-B635-E3070E0C9540}"/>
    <hyperlink ref="K126" r:id="rId231" xr:uid="{71B17632-5C9A-4585-8D62-F51104CAE082}"/>
    <hyperlink ref="K128" r:id="rId232" xr:uid="{E3C62675-B42F-4C7B-8BA2-0509CF94AABB}"/>
    <hyperlink ref="K130" r:id="rId233" xr:uid="{19FB4F85-0860-4CB6-85CC-0220CAD6399E}"/>
    <hyperlink ref="K132" r:id="rId234" xr:uid="{76453A32-58A5-43B0-95B2-F80BF4993973}"/>
    <hyperlink ref="K134" r:id="rId235" xr:uid="{9FAC92AB-FC58-42F1-AAED-4A01B7C1B0DF}"/>
    <hyperlink ref="K136" r:id="rId236" xr:uid="{E22CC51A-7D90-4E62-811E-93D321759B81}"/>
    <hyperlink ref="K138" r:id="rId237" xr:uid="{C1A6B9E0-C91B-4D50-9833-06CD82CB2036}"/>
    <hyperlink ref="K140" r:id="rId238" xr:uid="{B4D9FFC5-B062-43C5-B295-0D6B10553CEE}"/>
    <hyperlink ref="K142" r:id="rId239" xr:uid="{045F5C16-C139-4404-93E2-57CAB0CD9497}"/>
    <hyperlink ref="K144" r:id="rId240" xr:uid="{F2F3DD35-C5BD-45B5-9490-FE2057E0A37F}"/>
    <hyperlink ref="K146" r:id="rId241" xr:uid="{7FBE9DC3-18CE-40F0-8808-F76F271F6D5D}"/>
    <hyperlink ref="K148" r:id="rId242" xr:uid="{80D338A9-AD31-408E-8DA0-B18FA92F60B8}"/>
    <hyperlink ref="K150" r:id="rId243" xr:uid="{0EF32EBE-A12E-4475-A9EE-6DB0137D5F96}"/>
    <hyperlink ref="K152" r:id="rId244" xr:uid="{F3850D42-A71B-442A-B2EF-F8839FD9EA84}"/>
    <hyperlink ref="K154" r:id="rId245" xr:uid="{71DD3EDC-DEA7-4107-B644-02C5A6AEC71B}"/>
    <hyperlink ref="K156" r:id="rId246" xr:uid="{39E03BC7-1BE7-4E39-85C1-554B3ACBBA44}"/>
    <hyperlink ref="K158" r:id="rId247" xr:uid="{25E29BF1-C914-40A9-A31C-9F6B7F6F6684}"/>
    <hyperlink ref="K160" r:id="rId248" xr:uid="{02B4437A-F2E3-407E-9206-2EE6E56297D6}"/>
    <hyperlink ref="K162" r:id="rId249" xr:uid="{BF2825D9-D72B-48EA-8DCA-7316FF5FB9B1}"/>
    <hyperlink ref="K164" r:id="rId250" xr:uid="{15BE93D1-D312-4365-8D8F-DD376A82F2B6}"/>
    <hyperlink ref="K166" r:id="rId251" xr:uid="{0A53B594-09D0-439A-A90E-AC798F060A7A}"/>
    <hyperlink ref="K168" r:id="rId252" xr:uid="{4B6C98F8-1A15-41A0-AA18-D144246FDC15}"/>
    <hyperlink ref="K170" r:id="rId253" xr:uid="{A0CAA124-DC27-41CC-81F5-09DD772BA448}"/>
    <hyperlink ref="K172" r:id="rId254" xr:uid="{4149AB81-4C9C-4B54-B164-BB3B869AD1BF}"/>
    <hyperlink ref="K174" r:id="rId255" xr:uid="{E51AE2E1-2D07-4C1E-B390-FF3FCB5E9320}"/>
    <hyperlink ref="K176" r:id="rId256" xr:uid="{B4CB9390-0B09-4D3F-94DE-C44411F48121}"/>
    <hyperlink ref="K178" r:id="rId257" xr:uid="{E05272A5-E4D7-4E9E-A0A6-B46BF15CF219}"/>
    <hyperlink ref="K180" r:id="rId258" xr:uid="{C93839A5-C580-4125-BA97-66B457BAE95E}"/>
    <hyperlink ref="K182" r:id="rId259" xr:uid="{79B9AE81-AB1A-4B85-991E-FA03B4184360}"/>
    <hyperlink ref="K184" r:id="rId260" xr:uid="{FEB295DB-41B0-46A5-9B48-B6586D04DF2D}"/>
    <hyperlink ref="K186" r:id="rId261" xr:uid="{388E5F98-AD56-4612-A962-8D958EB37947}"/>
    <hyperlink ref="K188" r:id="rId262" xr:uid="{D3499D1A-570A-41E1-B1DA-C97249E783FF}"/>
    <hyperlink ref="K190" r:id="rId263" xr:uid="{5AB19A9A-0D38-48BD-999B-19F79C7B6A5B}"/>
    <hyperlink ref="K192" r:id="rId264" xr:uid="{13F56459-BC54-441C-9750-15404DE73868}"/>
    <hyperlink ref="K194" r:id="rId265" xr:uid="{59D3332E-D3ED-4AFD-9882-824473068A83}"/>
    <hyperlink ref="K196" r:id="rId266" xr:uid="{FA1B7165-BB4D-47E2-89A2-4CF73D382B7F}"/>
    <hyperlink ref="K198" r:id="rId267" xr:uid="{5B3BCF48-2027-44C9-8BA1-096012A1D7B3}"/>
    <hyperlink ref="K200" r:id="rId268" xr:uid="{3E9A6E51-14F9-4C06-9616-7F713C21E928}"/>
    <hyperlink ref="K202" r:id="rId269" xr:uid="{488E1916-883D-4A44-94E3-79FCDF906A4B}"/>
    <hyperlink ref="K204" r:id="rId270" xr:uid="{43642E48-6AB1-4C40-A267-EAEEC5B59D87}"/>
    <hyperlink ref="K206" r:id="rId271" xr:uid="{62D7BE12-6C4E-474C-9DA0-CF059BD46645}"/>
    <hyperlink ref="K208" r:id="rId272" xr:uid="{24FC73BA-35CE-4EA2-9920-56377C1D7EA9}"/>
    <hyperlink ref="K210" r:id="rId273" xr:uid="{7C43A5EB-00CF-405F-AB91-0E5F8BF58D68}"/>
    <hyperlink ref="K212" r:id="rId274" xr:uid="{64ADDA62-EE78-4CC8-B51E-C32D9100EE25}"/>
    <hyperlink ref="K214" r:id="rId275" xr:uid="{37FEE738-A0A9-44B0-B052-E840A2359504}"/>
    <hyperlink ref="K40" r:id="rId276" xr:uid="{EF8C4062-283C-4F79-9817-DD06701C7A33}"/>
    <hyperlink ref="K42" r:id="rId277" xr:uid="{3AD8E8F2-8AA1-4B71-826F-46818943AE96}"/>
    <hyperlink ref="K13" r:id="rId278" xr:uid="{7A1E28A2-4B8D-423A-B906-E332FBA55EA8}"/>
    <hyperlink ref="K324" r:id="rId279" xr:uid="{E9B62FEC-6A87-4177-A426-C5B2090FE6B6}"/>
    <hyperlink ref="K227" r:id="rId280" xr:uid="{58CBF5A1-0A0B-4915-BFD2-845E1CC0632B}"/>
    <hyperlink ref="K229" r:id="rId281" xr:uid="{86C694A3-974E-47E7-9271-141670D92268}"/>
    <hyperlink ref="K468" r:id="rId282" xr:uid="{AB8C43F2-068F-42C5-A5D4-AE91AA4948E3}"/>
    <hyperlink ref="K57" r:id="rId283" xr:uid="{CDAD234F-5AC5-442D-BC79-F6BBC5E29EB2}"/>
    <hyperlink ref="K375" r:id="rId284" xr:uid="{C397848B-6E1B-42BE-A0B7-5B5E45C06F0A}"/>
    <hyperlink ref="K306" r:id="rId285" xr:uid="{C69E57C2-6B44-461D-B148-3DFC8F2A6787}"/>
    <hyperlink ref="K391" r:id="rId286" xr:uid="{E0301DB1-92EB-4A64-BC62-913646161DD2}"/>
    <hyperlink ref="K393" r:id="rId287" xr:uid="{352DA8EF-594D-4CBE-8F75-A95EE8A1AEF6}"/>
    <hyperlink ref="K395" r:id="rId288" xr:uid="{D80E5738-D53F-4427-BB9C-B280461048BD}"/>
    <hyperlink ref="K2" r:id="rId289" xr:uid="{F9562FF5-0837-4731-8418-0B67D7CF8D07}"/>
    <hyperlink ref="K4" r:id="rId290" xr:uid="{C4D332A6-2C7C-46E8-9E5D-9A472811CA9B}"/>
    <hyperlink ref="K6" r:id="rId291" xr:uid="{1E57B566-9038-4A54-B43F-764E0E9D0780}"/>
    <hyperlink ref="K311" r:id="rId292" xr:uid="{C4C1F668-2246-4E3D-98AA-0CC0E5A6A682}"/>
    <hyperlink ref="K313" r:id="rId293" xr:uid="{493683E3-BC65-4BB8-84AC-0621D114FD5A}"/>
    <hyperlink ref="K315" r:id="rId294" xr:uid="{AF0CD2E4-9E22-434C-ADD6-02C6CDA12B6C}"/>
    <hyperlink ref="K317" r:id="rId295" xr:uid="{AA77BEAF-6B2E-470F-BEC2-ECD667509C95}"/>
    <hyperlink ref="K319" r:id="rId296" xr:uid="{E9D4F75C-A7A2-44CD-A7B0-CD039AFC5941}"/>
    <hyperlink ref="K321" r:id="rId297" xr:uid="{498A0ADE-1A4A-453E-98DB-F0D474FCE94E}"/>
    <hyperlink ref="K367" r:id="rId298" xr:uid="{AADE8C96-3A95-4CFC-8858-9269A23BFFA4}"/>
    <hyperlink ref="K369" r:id="rId299" xr:uid="{13A3DBA2-FFAF-401F-97F9-7EB49E7F015B}"/>
    <hyperlink ref="K371" r:id="rId300" xr:uid="{B673BEEC-E2EC-4EB8-B7AB-96F121CE4762}"/>
    <hyperlink ref="K222" r:id="rId301" xr:uid="{8445F985-7C69-45F2-9B5C-36403F909A06}"/>
    <hyperlink ref="K233" r:id="rId302" xr:uid="{4DAB3759-D0B9-4847-8755-F893034109A6}"/>
    <hyperlink ref="K235" r:id="rId303" xr:uid="{AF9F5FE7-CBEA-4851-BA7D-349B3CC74C40}"/>
    <hyperlink ref="K271" r:id="rId304" xr:uid="{0987B62C-C6D1-4D44-9F0C-A9F78B0265B9}"/>
    <hyperlink ref="K273" r:id="rId305" xr:uid="{B9EC8AF8-9EAB-42B4-AD62-382B2D67DFE4}"/>
    <hyperlink ref="K218" r:id="rId306" xr:uid="{64A5901A-4DFA-476E-9317-B5F87888E754}"/>
    <hyperlink ref="K220" r:id="rId307" xr:uid="{FD271B28-7FE3-4924-A8B9-9F020F36E574}"/>
    <hyperlink ref="K21" r:id="rId308" xr:uid="{7F80FA15-00A7-442F-858E-B1E2500583FE}"/>
    <hyperlink ref="K23" r:id="rId309" xr:uid="{5374A963-61EC-4435-BD60-D110F21D0D60}"/>
    <hyperlink ref="K364" r:id="rId310" xr:uid="{051FE4A5-7A29-42A0-90CF-D07818B13DEF}"/>
    <hyperlink ref="K279" r:id="rId311" xr:uid="{F87331DD-741D-4434-B70A-DF929CA4DE7C}"/>
    <hyperlink ref="K281" r:id="rId312" xr:uid="{0382F847-2778-443E-878B-13A53BBC89EE}"/>
    <hyperlink ref="K283" r:id="rId313" xr:uid="{4F6F759F-1299-4528-AEB1-49327D456B3A}"/>
    <hyperlink ref="K285" r:id="rId314" xr:uid="{CE0EBA33-5332-42AB-9BFB-EC573B43D066}"/>
    <hyperlink ref="K287" r:id="rId315" xr:uid="{AAC8B1B7-F7F7-48B4-B7D4-60D3B0E6FE28}"/>
    <hyperlink ref="K289" r:id="rId316" xr:uid="{711A85EC-B471-4228-B583-85B4FD291D2B}"/>
    <hyperlink ref="K291" r:id="rId317" xr:uid="{A34D525D-6C4B-450D-9B6F-449004935207}"/>
    <hyperlink ref="K293" r:id="rId318" xr:uid="{4DA29913-5AA1-4C96-8462-7678D9E9B808}"/>
    <hyperlink ref="K295" r:id="rId319" xr:uid="{049D9903-001F-45B1-B7BE-ACA79B15F927}"/>
    <hyperlink ref="K297" r:id="rId320" xr:uid="{F132F6F5-4C2F-44A6-B77A-D445D1750761}"/>
    <hyperlink ref="K299" r:id="rId321" xr:uid="{5BA1952C-E1BF-4A70-9A8B-A911591FDFD5}"/>
    <hyperlink ref="K277" r:id="rId322" xr:uid="{7CF299C3-94DB-4E3D-923F-5DE2B7E3EC21}"/>
    <hyperlink ref="K309" r:id="rId323" xr:uid="{7373AE5E-284A-4E54-AF12-37CA615B1D67}"/>
    <hyperlink ref="K18" r:id="rId324" xr:uid="{73C9DDE5-586E-4FBA-BD04-14E215250C7E}"/>
    <hyperlink ref="K20" r:id="rId325" xr:uid="{CB333197-5555-4628-92DA-0070F1904B4E}"/>
    <hyperlink ref="K589" r:id="rId326" xr:uid="{09D02959-B96B-4CDE-83DC-23A6B9FDBA86}"/>
    <hyperlink ref="K591" r:id="rId327" xr:uid="{B450FCA3-A05D-4A78-94CF-856CA4F76439}"/>
    <hyperlink ref="K593" r:id="rId328" xr:uid="{C990D2DC-17FD-42BB-9AFB-A0F5BDE98282}"/>
    <hyperlink ref="K595" r:id="rId329" xr:uid="{F7568666-8CA6-4BBC-B284-E9DE6C4985D2}"/>
    <hyperlink ref="K597" r:id="rId330" xr:uid="{6CA26674-F6EF-4B9D-B77A-DBCBF55529CF}"/>
    <hyperlink ref="K599" r:id="rId331" xr:uid="{7F11D586-BABB-4A6A-8249-9F9754A22049}"/>
    <hyperlink ref="K601" r:id="rId332" xr:uid="{CA439AE5-E388-4B81-8887-BD166F3D34C5}"/>
    <hyperlink ref="K603" r:id="rId333" xr:uid="{1EAD6993-6EAC-42AE-9718-32004187D4F0}"/>
    <hyperlink ref="K605" r:id="rId334" xr:uid="{D5F7B98C-6230-4EB4-A66D-CE5B4FD06895}"/>
    <hyperlink ref="K607" r:id="rId335" xr:uid="{5C73318A-B090-4870-9AE7-AC6B5B1E9A2C}"/>
    <hyperlink ref="K609" r:id="rId336" xr:uid="{B7DFD708-636F-4032-8068-6B461EF00E91}"/>
    <hyperlink ref="K611" r:id="rId337" xr:uid="{D0D46977-63FC-4B06-81EE-0540D9B1A0C9}"/>
    <hyperlink ref="K613" r:id="rId338" xr:uid="{56E3DF00-03DA-4E4B-B4A0-BCB779C11612}"/>
    <hyperlink ref="K615" r:id="rId339" xr:uid="{E70A5173-DB43-48A7-ABC5-6BD348DCDADB}"/>
    <hyperlink ref="K617" r:id="rId340" xr:uid="{C87F6C8E-444D-4DB6-BAAB-67B12F5D4138}"/>
    <hyperlink ref="K619" r:id="rId341" xr:uid="{6F6419A5-7D45-4777-9DAA-C5390D360369}"/>
    <hyperlink ref="K621" r:id="rId342" xr:uid="{63A12248-E62C-4C32-A309-77147229A184}"/>
    <hyperlink ref="K623" r:id="rId343" xr:uid="{51839EA4-6F8A-4959-8644-2EAD1E57A7AF}"/>
    <hyperlink ref="K625" r:id="rId344" xr:uid="{07AF361D-6698-49C9-861C-19C82B0FAB6C}"/>
    <hyperlink ref="K627" r:id="rId345" xr:uid="{29C63754-45F8-4681-9F80-F3BB5C1CE40A}"/>
    <hyperlink ref="K629" r:id="rId346" xr:uid="{83F0BAD8-1526-4430-A18E-73470FF84DA3}"/>
    <hyperlink ref="K388" r:id="rId347" xr:uid="{4A55E7A6-FF2A-4B18-8AA8-3BE16BF0B9E0}"/>
    <hyperlink ref="K46" r:id="rId348" xr:uid="{3B9AFA90-CBB5-4330-904D-657F4D874E18}"/>
    <hyperlink ref="K330" r:id="rId349" xr:uid="{8126368A-8FC8-4386-A7E3-812289139EB9}"/>
    <hyperlink ref="K59" r:id="rId350" xr:uid="{38393E27-9A5D-4031-9AF8-F899E412482A}"/>
    <hyperlink ref="K352" r:id="rId351" xr:uid="{ACD46F0B-B128-416E-9B52-33EFF5095F63}"/>
    <hyperlink ref="K354" r:id="rId352" xr:uid="{A79E5290-85CD-4BD9-AC6F-6E466BC78E32}"/>
    <hyperlink ref="K356" r:id="rId353" xr:uid="{57BF8B29-934A-42EF-BC97-6130F789FD90}"/>
    <hyperlink ref="K358" r:id="rId354" xr:uid="{FD51E86E-35B2-469D-B601-2C2ACB506371}"/>
    <hyperlink ref="K360" r:id="rId355" xr:uid="{3BEE4947-2661-4343-B7B8-37C3F6E2A625}"/>
    <hyperlink ref="K325" r:id="rId356" xr:uid="{A885347C-64B2-4E6D-9694-D8F9F115FAEB}"/>
    <hyperlink ref="K327" r:id="rId357" xr:uid="{1ADB9FE9-CB4A-4421-81B7-8910901CF0B5}"/>
    <hyperlink ref="K329" r:id="rId358" xr:uid="{DB195626-B28B-458E-9331-44EE3CA3F239}"/>
    <hyperlink ref="K245" r:id="rId359" xr:uid="{1CDCD313-B2E6-46B6-99BA-8CAD9AA811A1}"/>
    <hyperlink ref="K347" r:id="rId360" xr:uid="{28C39249-523F-4B12-8415-9A0FEE031D2D}"/>
    <hyperlink ref="K237" r:id="rId361" xr:uid="{CD949354-9B5E-48D4-B87C-16347FB68DE6}"/>
    <hyperlink ref="K239" r:id="rId362" xr:uid="{C894B75B-1889-4C2D-B709-0A9D126CE44C}"/>
    <hyperlink ref="K241" r:id="rId363" xr:uid="{1096CAD0-7F68-4A7D-9615-6948105927A4}"/>
    <hyperlink ref="K243" r:id="rId364" xr:uid="{490EBB4E-0C7C-4A29-A64E-3A648375F3DB}"/>
    <hyperlink ref="K231" r:id="rId365" xr:uid="{2A13F7E2-B7CA-4AE6-987A-22DDEEB62B9F}"/>
    <hyperlink ref="K302" r:id="rId366" xr:uid="{01D3DC77-7AEF-46BD-9625-1BA771723CA2}"/>
    <hyperlink ref="K304" r:id="rId367" xr:uid="{39D0D979-017F-4F16-BD0B-25D3EA2F1302}"/>
    <hyperlink ref="K470" r:id="rId368" xr:uid="{CAC46FE2-25A6-4AF9-BC54-21342AA295CF}"/>
    <hyperlink ref="K365" r:id="rId369" xr:uid="{DF36C794-B337-4CB0-BB63-B9BD72FB12BD}"/>
    <hyperlink ref="K9" r:id="rId370" xr:uid="{0B2D293F-0802-4721-8B7D-CF2AD6827688}"/>
    <hyperlink ref="K387" r:id="rId371" xr:uid="{E19536EB-81B0-4252-9207-04501E9C5DB6}"/>
    <hyperlink ref="K367:K371" r:id="rId372" display="https://sonel.univ-lr.fr/IMG/pdf/caldwell_2012unesco.pdf" xr:uid="{F42FCA3A-47BE-45DD-80CC-703AD04DA2D2}"/>
    <hyperlink ref="K15" r:id="rId373" xr:uid="{372A159A-9991-43C6-9C81-4873A86A7B47}"/>
    <hyperlink ref="K632" r:id="rId374" xr:uid="{618E802E-9066-4F3D-8655-5F57EB5E41AB}"/>
    <hyperlink ref="K407" r:id="rId375" xr:uid="{4910DCC3-B4A6-4711-A39F-C484A73E86E0}"/>
    <hyperlink ref="K412" r:id="rId376" xr:uid="{1298C027-8507-450F-B0DD-00536134DA7D}"/>
    <hyperlink ref="K416" r:id="rId377" xr:uid="{7B566AD0-D5A7-470C-83DB-F42C0F88FE90}"/>
    <hyperlink ref="K342" r:id="rId378" xr:uid="{96F50A2F-54CD-457D-8DF2-7A85328F8362}"/>
    <hyperlink ref="K422" r:id="rId379" xr:uid="{EAB00E97-0428-4B3A-BF2D-D71B5846A9D3}"/>
    <hyperlink ref="K426" r:id="rId380" xr:uid="{5D1357E9-85F9-48C0-AFD7-8A5D30090594}"/>
    <hyperlink ref="K300" r:id="rId381" xr:uid="{1B12DD6A-F157-40F3-A46E-E9A4C2CE5A1A}"/>
    <hyperlink ref="K224" r:id="rId382" xr:uid="{8263C959-5645-416F-BE4C-9B3196FA42F8}"/>
    <hyperlink ref="K51" r:id="rId383" xr:uid="{2B20AE5D-B81E-4506-99CF-F879EF117607}"/>
    <hyperlink ref="K382" r:id="rId384" xr:uid="{4A991598-5629-4619-9BE2-C2CCDA6C6F17}"/>
    <hyperlink ref="K333" r:id="rId385" xr:uid="{499A3664-9F8D-4ECC-AEFA-22F259C2855A}"/>
    <hyperlink ref="K473" r:id="rId386" xr:uid="{48989420-FC19-4D3F-AAAF-D0A50B684E97}"/>
    <hyperlink ref="K479" r:id="rId387" xr:uid="{E50DC3D5-DB18-4244-8BC6-43BD25B3756B}"/>
    <hyperlink ref="K485" r:id="rId388" xr:uid="{D906CBC9-DD63-4BE6-A5B3-1F83A6453832}"/>
    <hyperlink ref="K491" r:id="rId389" xr:uid="{2E7191CE-6374-4014-B8EF-E42FFB66ABCF}"/>
    <hyperlink ref="K497" r:id="rId390" xr:uid="{BEA805F1-3947-42CE-AA2C-0D59DDF93050}"/>
    <hyperlink ref="K503" r:id="rId391" xr:uid="{423FCC74-7260-4674-B745-EDE942C255C1}"/>
    <hyperlink ref="K504" r:id="rId392" xr:uid="{EA789263-A045-432E-9C61-D89F75D21535}"/>
    <hyperlink ref="K373:K377" r:id="rId393" display="https://sonel.univ-lr.fr/IMG/pdf/caldwell_2012unesco.pdf" xr:uid="{949507A5-4D7C-4640-86AF-8CE5F4F4E86B}"/>
    <hyperlink ref="K379:K383" r:id="rId394" display="https://sonel.univ-lr.fr/IMG/pdf/caldwell_2012unesco.pdf" xr:uid="{ED08FE61-ECBF-4C5B-AE30-2CDD79D74F35}"/>
    <hyperlink ref="K385:K389" r:id="rId395" display="https://sonel.univ-lr.fr/IMG/pdf/caldwell_2012unesco.pdf" xr:uid="{2A33F127-98FE-4472-B0EE-3B2730AC3ECA}"/>
    <hyperlink ref="K391:K395" r:id="rId396" display="https://sonel.univ-lr.fr/IMG/pdf/caldwell_2012unesco.pdf" xr:uid="{95D3DD5E-1442-4F64-B5BA-86459468D5FC}"/>
    <hyperlink ref="K397:K401" r:id="rId397" display="https://sonel.univ-lr.fr/IMG/pdf/caldwell_2012unesco.pdf" xr:uid="{412215E2-F428-4189-A0D8-F281A1A6DDFA}"/>
    <hyperlink ref="K403:K407" r:id="rId398" display="https://sonel.univ-lr.fr/IMG/pdf/caldwell_2012unesco.pdf" xr:uid="{E62E763C-A8A2-4BA1-A65C-B4350F63D4A7}"/>
    <hyperlink ref="K409:K413" r:id="rId399" display="https://sonel.univ-lr.fr/IMG/pdf/caldwell_2012unesco.pdf" xr:uid="{06E5D762-53F8-42A4-A5C2-A3F3FA56CBD6}"/>
    <hyperlink ref="K415:K419" r:id="rId400" display="https://sonel.univ-lr.fr/IMG/pdf/caldwell_2012unesco.pdf" xr:uid="{0212C362-13C1-45D9-AB47-1C10E256A3BD}"/>
    <hyperlink ref="K421:K425" r:id="rId401" display="https://sonel.univ-lr.fr/IMG/pdf/caldwell_2012unesco.pdf" xr:uid="{7E9A12AD-4BE8-4E44-AC82-1E41F168C2CA}"/>
    <hyperlink ref="K427:K431" r:id="rId402" display="https://sonel.univ-lr.fr/IMG/pdf/caldwell_2012unesco.pdf" xr:uid="{16B93BAC-4AB7-439D-A84B-8300F65941FF}"/>
    <hyperlink ref="K433:K437" r:id="rId403" display="https://sonel.univ-lr.fr/IMG/pdf/caldwell_2012unesco.pdf" xr:uid="{CBF335CC-548B-4A1E-AD8E-D7F1B54B94FF}"/>
    <hyperlink ref="K439:K443" r:id="rId404" display="https://sonel.univ-lr.fr/IMG/pdf/caldwell_2012unesco.pdf" xr:uid="{3350987B-C4B3-4769-822C-3914DCD9B1CF}"/>
    <hyperlink ref="K445:K449" r:id="rId405" display="https://sonel.univ-lr.fr/IMG/pdf/caldwell_2012unesco.pdf" xr:uid="{67F4F42B-B92D-47F0-A783-078B89B34157}"/>
    <hyperlink ref="K451:K455" r:id="rId406" display="https://sonel.univ-lr.fr/IMG/pdf/caldwell_2012unesco.pdf" xr:uid="{6336FE40-CED6-4D5B-9FFB-5FA81FACDA9C}"/>
    <hyperlink ref="K457:K461" r:id="rId407" display="https://sonel.univ-lr.fr/IMG/pdf/caldwell_2012unesco.pdf" xr:uid="{18C09903-74DB-44C9-84B8-1761B8382C93}"/>
    <hyperlink ref="K463:K467" r:id="rId408" display="https://sonel.univ-lr.fr/IMG/pdf/caldwell_2012unesco.pdf" xr:uid="{0C7D7C78-CFC4-4D4A-9515-953D2406AAF3}"/>
    <hyperlink ref="K469:K473" r:id="rId409" display="https://sonel.univ-lr.fr/IMG/pdf/caldwell_2012unesco.pdf" xr:uid="{3092D165-11C7-4CD8-8343-C431D8CDA3B4}"/>
    <hyperlink ref="K475:K479" r:id="rId410" display="https://sonel.univ-lr.fr/IMG/pdf/caldwell_2012unesco.pdf" xr:uid="{223CE9AB-DCCC-4B15-ABF9-D74568F17DCC}"/>
    <hyperlink ref="K481:K485" r:id="rId411" display="https://sonel.univ-lr.fr/IMG/pdf/caldwell_2012unesco.pdf" xr:uid="{CA50BE47-3E43-4D3A-A3C9-AE0F52877F68}"/>
    <hyperlink ref="K487:K488" r:id="rId412" display="https://sonel.univ-lr.fr/IMG/pdf/caldwell_2012unesco.pdf" xr:uid="{BC471473-90B9-43A6-BA62-36B82A24276A}"/>
    <hyperlink ref="K491:K587" r:id="rId413" display="https://pdxscholar.library.pdx.edu/cgi/viewcontent.cgi?article=1426&amp;context=cengin_fac" xr:uid="{B6BA8C38-E660-4328-88F1-1D565E021B53}"/>
    <hyperlink ref="K590:K591" r:id="rId414" display="https://southerncoastalgroup-scopac.org.uk/wp-content/uploads/2022/01/Digitisation-and-Analysis-of-Poole-Harbour-Tide-Gauge-Record-September-2021.pdf" xr:uid="{4AFE7346-70A9-41FA-ACAA-8A5C54EA9C30}"/>
    <hyperlink ref="K593:K601" r:id="rId415" display="https://www.proquest.com/docview/2649433831?fromopenview=true&amp;pq-origsite=gscholar&amp;sourcetype=Scholarly%20Journals" xr:uid="{BBC61A19-1C8B-4919-BB6D-F2947D712123}"/>
    <hyperlink ref="K31" r:id="rId416" xr:uid="{38B168BD-6AEA-4BEB-AB73-36BE332FEA8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2026-08-29T14:21:03Z</dcterms:modified>
</cp:coreProperties>
</file>